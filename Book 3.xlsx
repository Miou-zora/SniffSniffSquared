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2461DE27-5E7C-40BE-B2C0-6D448990AEE3}" xr6:coauthVersionLast="47" xr6:coauthVersionMax="47" xr10:uidLastSave="{00000000-0000-0000-0000-000000000000}"/>
  <bookViews>
    <workbookView xWindow="240" yWindow="105" windowWidth="14805" windowHeight="8010" activeTab="6" xr2:uid="{00000000-000D-0000-FFFF-FFFF00000000}"/>
  </bookViews>
  <sheets>
    <sheet name="Feuil1" sheetId="1" r:id="rId1"/>
    <sheet name="Coeff" sheetId="5" r:id="rId2"/>
    <sheet name="Qte" sheetId="2" r:id="rId3"/>
    <sheet name="Value" sheetId="3" r:id="rId4"/>
    <sheet name="PercentDiff" sheetId="4" r:id="rId5"/>
    <sheet name="PrixU" sheetId="6" r:id="rId6"/>
    <sheet name="ItemWorth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7" l="1"/>
  <c r="D2" i="7"/>
  <c r="D3" i="7"/>
  <c r="D1" i="7"/>
  <c r="F23" i="6"/>
  <c r="F17" i="6"/>
  <c r="F51" i="6"/>
  <c r="F36" i="6"/>
  <c r="F49" i="6"/>
  <c r="F44" i="6"/>
  <c r="F18" i="6"/>
  <c r="F30" i="6"/>
  <c r="F47" i="6"/>
  <c r="F35" i="6"/>
  <c r="F27" i="6"/>
  <c r="F28" i="6"/>
  <c r="F46" i="6"/>
  <c r="F32" i="6"/>
  <c r="F31" i="6"/>
  <c r="F42" i="6"/>
  <c r="F24" i="6"/>
  <c r="F9" i="6"/>
  <c r="F8" i="6"/>
  <c r="F25" i="6"/>
  <c r="F43" i="6"/>
  <c r="F39" i="6"/>
  <c r="F34" i="6"/>
  <c r="F40" i="6"/>
  <c r="F48" i="6"/>
  <c r="F37" i="6"/>
  <c r="F29" i="6"/>
  <c r="F14" i="6"/>
  <c r="F45" i="6"/>
  <c r="F41" i="6"/>
  <c r="F16" i="6"/>
  <c r="F21" i="6"/>
  <c r="F12" i="6"/>
  <c r="F7" i="6"/>
  <c r="F11" i="6"/>
  <c r="F50" i="6"/>
  <c r="F15" i="6"/>
  <c r="F38" i="6"/>
  <c r="F33" i="6"/>
  <c r="F13" i="6"/>
  <c r="F20" i="6"/>
  <c r="F6" i="6"/>
  <c r="F26" i="6"/>
  <c r="F10" i="6"/>
  <c r="F22" i="6"/>
  <c r="F19" i="6"/>
  <c r="F4" i="6"/>
  <c r="F2" i="6"/>
  <c r="F5" i="6"/>
  <c r="F3" i="6"/>
  <c r="B2" i="5"/>
  <c r="F2" i="5" a="1"/>
  <c r="F2" i="5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15" i="4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15" i="2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15" i="3"/>
  <c r="G2" i="2"/>
  <c r="K1" i="4"/>
  <c r="J1" i="4"/>
  <c r="J1" i="3"/>
  <c r="K1" i="3"/>
  <c r="J1" i="2"/>
  <c r="K1" i="2"/>
  <c r="G2" i="5" a="1"/>
  <c r="G2" i="5"/>
  <c r="C2" i="5"/>
  <c r="H51" i="4"/>
  <c r="E51" i="4"/>
  <c r="H50" i="4"/>
  <c r="E50" i="4"/>
  <c r="H49" i="4"/>
  <c r="E49" i="4"/>
  <c r="H48" i="4"/>
  <c r="E48" i="4"/>
  <c r="H47" i="4"/>
  <c r="E47" i="4"/>
  <c r="H46" i="4"/>
  <c r="E46" i="4"/>
  <c r="H45" i="4"/>
  <c r="E45" i="4"/>
  <c r="H44" i="4"/>
  <c r="E44" i="4"/>
  <c r="H43" i="4"/>
  <c r="E43" i="4"/>
  <c r="H42" i="4"/>
  <c r="E42" i="4"/>
  <c r="H41" i="4"/>
  <c r="E41" i="4"/>
  <c r="H40" i="4"/>
  <c r="E40" i="4"/>
  <c r="H39" i="4"/>
  <c r="E39" i="4"/>
  <c r="H38" i="4"/>
  <c r="E38" i="4"/>
  <c r="H37" i="4"/>
  <c r="E37" i="4"/>
  <c r="H36" i="4"/>
  <c r="E36" i="4"/>
  <c r="H35" i="4"/>
  <c r="E35" i="4"/>
  <c r="H34" i="4"/>
  <c r="E34" i="4"/>
  <c r="H33" i="4"/>
  <c r="E33" i="4"/>
  <c r="H32" i="4"/>
  <c r="E32" i="4"/>
  <c r="H31" i="4"/>
  <c r="E31" i="4"/>
  <c r="H30" i="4"/>
  <c r="E30" i="4"/>
  <c r="H29" i="4"/>
  <c r="E29" i="4"/>
  <c r="H28" i="4"/>
  <c r="E28" i="4"/>
  <c r="H27" i="4"/>
  <c r="E27" i="4"/>
  <c r="H26" i="4"/>
  <c r="E26" i="4"/>
  <c r="H25" i="4"/>
  <c r="E25" i="4"/>
  <c r="H24" i="4"/>
  <c r="E24" i="4"/>
  <c r="H23" i="4"/>
  <c r="E23" i="4"/>
  <c r="H22" i="4"/>
  <c r="E22" i="4"/>
  <c r="H21" i="4"/>
  <c r="E21" i="4"/>
  <c r="H20" i="4"/>
  <c r="E20" i="4"/>
  <c r="H19" i="4"/>
  <c r="E19" i="4"/>
  <c r="H18" i="4"/>
  <c r="E18" i="4"/>
  <c r="H17" i="4"/>
  <c r="E17" i="4"/>
  <c r="H16" i="4"/>
  <c r="E16" i="4"/>
  <c r="H15" i="4"/>
  <c r="E15" i="4"/>
  <c r="G14" i="4"/>
  <c r="H14" i="4" s="1"/>
  <c r="E14" i="4"/>
  <c r="G13" i="4"/>
  <c r="H13" i="4" s="1"/>
  <c r="E13" i="4"/>
  <c r="G12" i="4"/>
  <c r="H12" i="4" s="1"/>
  <c r="E12" i="4"/>
  <c r="G11" i="4"/>
  <c r="H11" i="4" s="1"/>
  <c r="E11" i="4"/>
  <c r="G10" i="4"/>
  <c r="H10" i="4" s="1"/>
  <c r="E10" i="4"/>
  <c r="G9" i="4"/>
  <c r="H9" i="4" s="1"/>
  <c r="E9" i="4"/>
  <c r="G8" i="4"/>
  <c r="H8" i="4" s="1"/>
  <c r="E8" i="4"/>
  <c r="G7" i="4"/>
  <c r="H7" i="4" s="1"/>
  <c r="E7" i="4"/>
  <c r="G6" i="4"/>
  <c r="H6" i="4" s="1"/>
  <c r="E6" i="4"/>
  <c r="G5" i="4"/>
  <c r="H5" i="4" s="1"/>
  <c r="E5" i="4"/>
  <c r="G4" i="4"/>
  <c r="H4" i="4" s="1"/>
  <c r="E4" i="4"/>
  <c r="G3" i="4"/>
  <c r="H3" i="4" s="1"/>
  <c r="E3" i="4"/>
  <c r="G2" i="4"/>
  <c r="H2" i="4" s="1"/>
  <c r="I2" i="4" s="1"/>
  <c r="E2" i="4"/>
  <c r="H51" i="3"/>
  <c r="E51" i="3"/>
  <c r="F51" i="3" s="1"/>
  <c r="H50" i="3"/>
  <c r="E50" i="3"/>
  <c r="F50" i="3" s="1"/>
  <c r="H49" i="3"/>
  <c r="E49" i="3"/>
  <c r="F49" i="3" s="1"/>
  <c r="H48" i="3"/>
  <c r="E48" i="3"/>
  <c r="F48" i="3" s="1"/>
  <c r="H47" i="3"/>
  <c r="E47" i="3"/>
  <c r="F47" i="3" s="1"/>
  <c r="H46" i="3"/>
  <c r="E46" i="3"/>
  <c r="F46" i="3" s="1"/>
  <c r="H45" i="3"/>
  <c r="E45" i="3"/>
  <c r="F45" i="3" s="1"/>
  <c r="H44" i="3"/>
  <c r="E44" i="3"/>
  <c r="F44" i="3" s="1"/>
  <c r="H43" i="3"/>
  <c r="E43" i="3"/>
  <c r="F43" i="3" s="1"/>
  <c r="H42" i="3"/>
  <c r="E42" i="3"/>
  <c r="F42" i="3" s="1"/>
  <c r="H41" i="3"/>
  <c r="E41" i="3"/>
  <c r="F41" i="3" s="1"/>
  <c r="H40" i="3"/>
  <c r="E40" i="3"/>
  <c r="F40" i="3" s="1"/>
  <c r="H39" i="3"/>
  <c r="E39" i="3"/>
  <c r="F39" i="3" s="1"/>
  <c r="H38" i="3"/>
  <c r="E38" i="3"/>
  <c r="F38" i="3" s="1"/>
  <c r="H37" i="3"/>
  <c r="E37" i="3"/>
  <c r="F37" i="3" s="1"/>
  <c r="H36" i="3"/>
  <c r="E36" i="3"/>
  <c r="F36" i="3" s="1"/>
  <c r="H35" i="3"/>
  <c r="E35" i="3"/>
  <c r="F35" i="3" s="1"/>
  <c r="H34" i="3"/>
  <c r="E34" i="3"/>
  <c r="F34" i="3" s="1"/>
  <c r="H33" i="3"/>
  <c r="E33" i="3"/>
  <c r="F33" i="3" s="1"/>
  <c r="H32" i="3"/>
  <c r="E32" i="3"/>
  <c r="F32" i="3" s="1"/>
  <c r="H31" i="3"/>
  <c r="E31" i="3"/>
  <c r="F31" i="3" s="1"/>
  <c r="H30" i="3"/>
  <c r="E30" i="3"/>
  <c r="F30" i="3" s="1"/>
  <c r="H29" i="3"/>
  <c r="E29" i="3"/>
  <c r="F29" i="3" s="1"/>
  <c r="H28" i="3"/>
  <c r="E28" i="3"/>
  <c r="F28" i="3" s="1"/>
  <c r="H27" i="3"/>
  <c r="E27" i="3"/>
  <c r="F27" i="3" s="1"/>
  <c r="H26" i="3"/>
  <c r="E26" i="3"/>
  <c r="F26" i="3" s="1"/>
  <c r="H25" i="3"/>
  <c r="E25" i="3"/>
  <c r="F25" i="3" s="1"/>
  <c r="H24" i="3"/>
  <c r="E24" i="3"/>
  <c r="F24" i="3" s="1"/>
  <c r="H23" i="3"/>
  <c r="E23" i="3"/>
  <c r="F23" i="3" s="1"/>
  <c r="H22" i="3"/>
  <c r="E22" i="3"/>
  <c r="F22" i="3" s="1"/>
  <c r="H21" i="3"/>
  <c r="E21" i="3"/>
  <c r="F21" i="3" s="1"/>
  <c r="H20" i="3"/>
  <c r="E20" i="3"/>
  <c r="F20" i="3" s="1"/>
  <c r="H19" i="3"/>
  <c r="E19" i="3"/>
  <c r="F19" i="3" s="1"/>
  <c r="H18" i="3"/>
  <c r="E18" i="3"/>
  <c r="F18" i="3" s="1"/>
  <c r="H17" i="3"/>
  <c r="E17" i="3"/>
  <c r="F17" i="3" s="1"/>
  <c r="H16" i="3"/>
  <c r="E16" i="3"/>
  <c r="F16" i="3" s="1"/>
  <c r="H15" i="3"/>
  <c r="E15" i="3"/>
  <c r="F15" i="3" s="1"/>
  <c r="G14" i="3"/>
  <c r="H14" i="3" s="1"/>
  <c r="E14" i="3"/>
  <c r="F14" i="3" s="1"/>
  <c r="G13" i="3"/>
  <c r="H13" i="3" s="1"/>
  <c r="E13" i="3"/>
  <c r="F13" i="3" s="1"/>
  <c r="G12" i="3"/>
  <c r="H12" i="3" s="1"/>
  <c r="E12" i="3"/>
  <c r="F12" i="3" s="1"/>
  <c r="G11" i="3"/>
  <c r="H11" i="3" s="1"/>
  <c r="E11" i="3"/>
  <c r="F11" i="3" s="1"/>
  <c r="G10" i="3"/>
  <c r="H10" i="3" s="1"/>
  <c r="E10" i="3"/>
  <c r="F10" i="3" s="1"/>
  <c r="G9" i="3"/>
  <c r="H9" i="3" s="1"/>
  <c r="E9" i="3"/>
  <c r="F9" i="3" s="1"/>
  <c r="G8" i="3"/>
  <c r="H8" i="3" s="1"/>
  <c r="E8" i="3"/>
  <c r="F8" i="3" s="1"/>
  <c r="G7" i="3"/>
  <c r="H7" i="3" s="1"/>
  <c r="E7" i="3"/>
  <c r="F7" i="3" s="1"/>
  <c r="G6" i="3"/>
  <c r="H6" i="3" s="1"/>
  <c r="E6" i="3"/>
  <c r="F6" i="3" s="1"/>
  <c r="G5" i="3"/>
  <c r="H5" i="3" s="1"/>
  <c r="E5" i="3"/>
  <c r="F5" i="3" s="1"/>
  <c r="G4" i="3"/>
  <c r="H4" i="3" s="1"/>
  <c r="E4" i="3"/>
  <c r="F4" i="3" s="1"/>
  <c r="G3" i="3"/>
  <c r="H3" i="3" s="1"/>
  <c r="E3" i="3"/>
  <c r="F3" i="3" s="1"/>
  <c r="G2" i="3"/>
  <c r="H2" i="3" s="1"/>
  <c r="I2" i="3" s="1"/>
  <c r="E2" i="3"/>
  <c r="F2" i="3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2" i="2"/>
  <c r="G3" i="2"/>
  <c r="G4" i="2"/>
  <c r="G5" i="2"/>
  <c r="G6" i="2"/>
  <c r="G7" i="2"/>
  <c r="G8" i="2"/>
  <c r="G9" i="2"/>
  <c r="G10" i="2"/>
  <c r="G11" i="2"/>
  <c r="G12" i="2"/>
  <c r="G13" i="2"/>
  <c r="G14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I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K15" i="1"/>
  <c r="K30" i="1"/>
  <c r="K48" i="1"/>
  <c r="K49" i="1"/>
  <c r="K14" i="1"/>
  <c r="K16" i="1"/>
  <c r="K17" i="1"/>
  <c r="K18" i="1"/>
  <c r="K19" i="1"/>
  <c r="K20" i="1"/>
  <c r="K21" i="1"/>
  <c r="K3" i="1"/>
  <c r="K4" i="1"/>
  <c r="K5" i="1"/>
  <c r="K2" i="1"/>
  <c r="K22" i="1"/>
  <c r="K23" i="1"/>
  <c r="K25" i="1"/>
  <c r="K24" i="1"/>
  <c r="K28" i="1"/>
  <c r="K29" i="1"/>
  <c r="K33" i="1"/>
  <c r="K34" i="1"/>
  <c r="K31" i="1"/>
  <c r="K32" i="1"/>
  <c r="K39" i="1"/>
  <c r="K35" i="1"/>
  <c r="K36" i="1"/>
  <c r="K37" i="1"/>
  <c r="K38" i="1"/>
  <c r="K40" i="1"/>
  <c r="K41" i="1"/>
  <c r="K42" i="1"/>
  <c r="K43" i="1"/>
  <c r="K26" i="1"/>
  <c r="K6" i="1"/>
  <c r="K7" i="1"/>
  <c r="K8" i="1"/>
  <c r="K9" i="1"/>
  <c r="K10" i="1"/>
  <c r="K11" i="1"/>
  <c r="K12" i="1"/>
  <c r="K27" i="1"/>
  <c r="K44" i="1"/>
  <c r="K45" i="1"/>
  <c r="K46" i="1"/>
  <c r="K47" i="1"/>
  <c r="K50" i="1"/>
  <c r="K51" i="1"/>
  <c r="K13" i="1"/>
  <c r="W68" i="1"/>
  <c r="W69" i="1"/>
  <c r="W70" i="1"/>
  <c r="W71" i="1"/>
  <c r="W72" i="1"/>
  <c r="W73" i="1"/>
  <c r="W74" i="1"/>
  <c r="W75" i="1"/>
  <c r="W76" i="1"/>
  <c r="W77" i="1"/>
  <c r="I2" i="5" l="1" a="1"/>
  <c r="I2" i="5" s="1"/>
  <c r="H2" i="5" a="1"/>
  <c r="H2" i="5" s="1"/>
  <c r="R1" i="3"/>
  <c r="R1" i="2"/>
  <c r="R1" i="4"/>
  <c r="I15" i="2"/>
  <c r="J2" i="2"/>
  <c r="J2" i="3"/>
  <c r="L1" i="4"/>
  <c r="L1" i="3"/>
  <c r="L1" i="2"/>
  <c r="D2" i="5"/>
  <c r="O1" i="4"/>
  <c r="O1" i="3"/>
  <c r="O1" i="2"/>
  <c r="P1" i="4"/>
  <c r="P1" i="3"/>
  <c r="P1" i="2"/>
  <c r="Q1" i="4"/>
  <c r="Q1" i="3"/>
  <c r="Q1" i="2"/>
  <c r="K2" i="2"/>
  <c r="M2" i="2" s="1"/>
  <c r="O2" i="2" s="1"/>
  <c r="Q2" i="2" s="1"/>
  <c r="F2" i="4"/>
  <c r="F3" i="4"/>
  <c r="I3" i="4"/>
  <c r="F4" i="4"/>
  <c r="I4" i="4"/>
  <c r="F5" i="4"/>
  <c r="I5" i="4"/>
  <c r="F6" i="4"/>
  <c r="I6" i="4"/>
  <c r="F7" i="4"/>
  <c r="I7" i="4"/>
  <c r="F8" i="4"/>
  <c r="I8" i="4"/>
  <c r="F9" i="4"/>
  <c r="I9" i="4"/>
  <c r="F10" i="4"/>
  <c r="I10" i="4"/>
  <c r="F11" i="4"/>
  <c r="I11" i="4"/>
  <c r="F12" i="4"/>
  <c r="I12" i="4"/>
  <c r="F13" i="4"/>
  <c r="I13" i="4"/>
  <c r="F14" i="4"/>
  <c r="I14" i="4"/>
  <c r="F15" i="4"/>
  <c r="I15" i="4"/>
  <c r="F16" i="4"/>
  <c r="I16" i="4"/>
  <c r="F17" i="4"/>
  <c r="I17" i="4"/>
  <c r="F18" i="4"/>
  <c r="I18" i="4"/>
  <c r="F19" i="4"/>
  <c r="I19" i="4"/>
  <c r="F20" i="4"/>
  <c r="I20" i="4"/>
  <c r="F21" i="4"/>
  <c r="I21" i="4"/>
  <c r="F22" i="4"/>
  <c r="I22" i="4"/>
  <c r="F23" i="4"/>
  <c r="I23" i="4"/>
  <c r="F24" i="4"/>
  <c r="I24" i="4"/>
  <c r="F25" i="4"/>
  <c r="I25" i="4"/>
  <c r="F26" i="4"/>
  <c r="I26" i="4"/>
  <c r="F27" i="4"/>
  <c r="I27" i="4"/>
  <c r="F28" i="4"/>
  <c r="I28" i="4"/>
  <c r="F29" i="4"/>
  <c r="I29" i="4"/>
  <c r="F30" i="4"/>
  <c r="I30" i="4"/>
  <c r="F31" i="4"/>
  <c r="I31" i="4"/>
  <c r="F32" i="4"/>
  <c r="I32" i="4"/>
  <c r="F33" i="4"/>
  <c r="I33" i="4"/>
  <c r="F34" i="4"/>
  <c r="I34" i="4"/>
  <c r="F35" i="4"/>
  <c r="I35" i="4"/>
  <c r="F36" i="4"/>
  <c r="I36" i="4"/>
  <c r="F37" i="4"/>
  <c r="I37" i="4"/>
  <c r="F38" i="4"/>
  <c r="I38" i="4"/>
  <c r="F39" i="4"/>
  <c r="I39" i="4"/>
  <c r="F40" i="4"/>
  <c r="I40" i="4"/>
  <c r="F41" i="4"/>
  <c r="I41" i="4"/>
  <c r="F42" i="4"/>
  <c r="I42" i="4"/>
  <c r="F43" i="4"/>
  <c r="I43" i="4"/>
  <c r="F44" i="4"/>
  <c r="I44" i="4"/>
  <c r="F45" i="4"/>
  <c r="I45" i="4"/>
  <c r="F46" i="4"/>
  <c r="I46" i="4"/>
  <c r="F47" i="4"/>
  <c r="I47" i="4"/>
  <c r="F48" i="4"/>
  <c r="I48" i="4"/>
  <c r="F49" i="4"/>
  <c r="I49" i="4"/>
  <c r="F50" i="4"/>
  <c r="I50" i="4"/>
  <c r="F51" i="4"/>
  <c r="I51" i="4"/>
  <c r="I11" i="3"/>
  <c r="I19" i="3"/>
  <c r="I27" i="3"/>
  <c r="I35" i="3"/>
  <c r="I43" i="3"/>
  <c r="I51" i="3"/>
  <c r="I44" i="3"/>
  <c r="I45" i="3"/>
  <c r="I46" i="3"/>
  <c r="I47" i="3"/>
  <c r="I48" i="3"/>
  <c r="I49" i="3"/>
  <c r="I50" i="3"/>
  <c r="I36" i="3"/>
  <c r="I37" i="3"/>
  <c r="I38" i="3"/>
  <c r="I39" i="3"/>
  <c r="I40" i="3"/>
  <c r="I41" i="3"/>
  <c r="I42" i="3"/>
  <c r="I28" i="3"/>
  <c r="I29" i="3"/>
  <c r="I30" i="3"/>
  <c r="I31" i="3"/>
  <c r="I32" i="3"/>
  <c r="I33" i="3"/>
  <c r="I34" i="3"/>
  <c r="I20" i="3"/>
  <c r="I21" i="3"/>
  <c r="I22" i="3"/>
  <c r="I23" i="3"/>
  <c r="I24" i="3"/>
  <c r="I25" i="3"/>
  <c r="I26" i="3"/>
  <c r="I12" i="3"/>
  <c r="I13" i="3"/>
  <c r="I14" i="3"/>
  <c r="I15" i="3"/>
  <c r="I16" i="3"/>
  <c r="I17" i="3"/>
  <c r="I18" i="3"/>
  <c r="I5" i="3"/>
  <c r="I6" i="3"/>
  <c r="I7" i="3"/>
  <c r="I8" i="3"/>
  <c r="I9" i="3"/>
  <c r="I10" i="3"/>
  <c r="I3" i="3"/>
  <c r="I4" i="3"/>
  <c r="I51" i="2"/>
  <c r="I21" i="2"/>
  <c r="I20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2" i="2"/>
  <c r="I23" i="2"/>
  <c r="I24" i="2"/>
  <c r="I25" i="2"/>
  <c r="I26" i="2"/>
  <c r="I27" i="2"/>
  <c r="I28" i="2"/>
  <c r="I19" i="2"/>
  <c r="I18" i="2"/>
  <c r="I17" i="2"/>
  <c r="I16" i="2"/>
  <c r="I14" i="2"/>
  <c r="I13" i="2"/>
  <c r="I12" i="2"/>
  <c r="I11" i="2"/>
  <c r="I10" i="2"/>
  <c r="I9" i="2"/>
  <c r="I8" i="2"/>
  <c r="I6" i="2"/>
  <c r="I7" i="2"/>
  <c r="I5" i="2"/>
  <c r="I4" i="2"/>
  <c r="I3" i="2"/>
  <c r="K4" i="2" l="1"/>
  <c r="M4" i="2" s="1"/>
  <c r="O4" i="2" s="1"/>
  <c r="Q4" i="2" s="1"/>
  <c r="J4" i="2"/>
  <c r="L4" i="2" s="1"/>
  <c r="N4" i="2" s="1"/>
  <c r="P4" i="2" s="1"/>
  <c r="R4" i="2" s="1"/>
  <c r="R4" i="3" s="1"/>
  <c r="R4" i="4" s="1"/>
  <c r="L2" i="2"/>
  <c r="J2" i="4"/>
  <c r="M1" i="4"/>
  <c r="M1" i="3"/>
  <c r="M1" i="2"/>
  <c r="E2" i="5"/>
  <c r="K3" i="2"/>
  <c r="M3" i="2" s="1"/>
  <c r="O3" i="2" s="1"/>
  <c r="Q3" i="2" s="1"/>
  <c r="J3" i="2"/>
  <c r="L3" i="2" s="1"/>
  <c r="N3" i="2" s="1"/>
  <c r="P3" i="2" s="1"/>
  <c r="R3" i="2" s="1"/>
  <c r="R3" i="3" s="1"/>
  <c r="R3" i="4" s="1"/>
  <c r="K5" i="2"/>
  <c r="M5" i="2" s="1"/>
  <c r="O5" i="2" s="1"/>
  <c r="Q5" i="2" s="1"/>
  <c r="J5" i="2"/>
  <c r="J7" i="2"/>
  <c r="L7" i="2" s="1"/>
  <c r="N7" i="2" s="1"/>
  <c r="P7" i="2" s="1"/>
  <c r="R7" i="2" s="1"/>
  <c r="R7" i="3" s="1"/>
  <c r="R7" i="4" s="1"/>
  <c r="K7" i="2"/>
  <c r="M7" i="2" s="1"/>
  <c r="O7" i="2" s="1"/>
  <c r="Q7" i="2" s="1"/>
  <c r="K6" i="2"/>
  <c r="M6" i="2" s="1"/>
  <c r="O6" i="2" s="1"/>
  <c r="Q6" i="2" s="1"/>
  <c r="J6" i="2"/>
  <c r="J8" i="2"/>
  <c r="K8" i="2"/>
  <c r="M8" i="2" s="1"/>
  <c r="O8" i="2" s="1"/>
  <c r="Q8" i="2" s="1"/>
  <c r="J9" i="2"/>
  <c r="K9" i="2"/>
  <c r="M9" i="2" s="1"/>
  <c r="O9" i="2" s="1"/>
  <c r="Q9" i="2" s="1"/>
  <c r="J10" i="2"/>
  <c r="K10" i="2"/>
  <c r="M10" i="2" s="1"/>
  <c r="O10" i="2" s="1"/>
  <c r="Q10" i="2" s="1"/>
  <c r="J11" i="2"/>
  <c r="L11" i="2" s="1"/>
  <c r="N11" i="2" s="1"/>
  <c r="P11" i="2" s="1"/>
  <c r="R11" i="2" s="1"/>
  <c r="R11" i="3" s="1"/>
  <c r="R11" i="4" s="1"/>
  <c r="K11" i="2"/>
  <c r="M11" i="2" s="1"/>
  <c r="O11" i="2" s="1"/>
  <c r="Q11" i="2" s="1"/>
  <c r="J12" i="2"/>
  <c r="L12" i="2" s="1"/>
  <c r="N12" i="2" s="1"/>
  <c r="P12" i="2" s="1"/>
  <c r="R12" i="2" s="1"/>
  <c r="R12" i="3" s="1"/>
  <c r="R12" i="4" s="1"/>
  <c r="K12" i="2"/>
  <c r="M12" i="2" s="1"/>
  <c r="O12" i="2" s="1"/>
  <c r="Q12" i="2" s="1"/>
  <c r="J13" i="2"/>
  <c r="L13" i="2" s="1"/>
  <c r="N13" i="2" s="1"/>
  <c r="P13" i="2" s="1"/>
  <c r="R13" i="2" s="1"/>
  <c r="R13" i="3" s="1"/>
  <c r="R13" i="4" s="1"/>
  <c r="K13" i="2"/>
  <c r="M13" i="2" s="1"/>
  <c r="O13" i="2" s="1"/>
  <c r="Q13" i="2" s="1"/>
  <c r="J14" i="2"/>
  <c r="L14" i="2" s="1"/>
  <c r="N14" i="2" s="1"/>
  <c r="P14" i="2" s="1"/>
  <c r="R14" i="2" s="1"/>
  <c r="R14" i="3" s="1"/>
  <c r="R14" i="4" s="1"/>
  <c r="K14" i="2"/>
  <c r="M14" i="2" s="1"/>
  <c r="O14" i="2" s="1"/>
  <c r="Q14" i="2" s="1"/>
  <c r="J15" i="2"/>
  <c r="K15" i="2"/>
  <c r="M15" i="2" s="1"/>
  <c r="O15" i="2" s="1"/>
  <c r="Q15" i="2" s="1"/>
  <c r="J16" i="2"/>
  <c r="L16" i="2" s="1"/>
  <c r="N16" i="2" s="1"/>
  <c r="P16" i="2" s="1"/>
  <c r="R16" i="2" s="1"/>
  <c r="R16" i="3" s="1"/>
  <c r="R16" i="4" s="1"/>
  <c r="K16" i="2"/>
  <c r="M16" i="2" s="1"/>
  <c r="O16" i="2" s="1"/>
  <c r="Q16" i="2" s="1"/>
  <c r="J17" i="2"/>
  <c r="L17" i="2" s="1"/>
  <c r="N17" i="2" s="1"/>
  <c r="P17" i="2" s="1"/>
  <c r="R17" i="2" s="1"/>
  <c r="R17" i="3" s="1"/>
  <c r="R17" i="4" s="1"/>
  <c r="K17" i="2"/>
  <c r="M17" i="2" s="1"/>
  <c r="O17" i="2" s="1"/>
  <c r="Q17" i="2" s="1"/>
  <c r="J18" i="2"/>
  <c r="K18" i="2"/>
  <c r="M18" i="2" s="1"/>
  <c r="O18" i="2" s="1"/>
  <c r="Q18" i="2" s="1"/>
  <c r="J19" i="2"/>
  <c r="L19" i="2" s="1"/>
  <c r="N19" i="2" s="1"/>
  <c r="P19" i="2" s="1"/>
  <c r="R19" i="2" s="1"/>
  <c r="R19" i="3" s="1"/>
  <c r="R19" i="4" s="1"/>
  <c r="K19" i="2"/>
  <c r="M19" i="2" s="1"/>
  <c r="O19" i="2" s="1"/>
  <c r="Q19" i="2" s="1"/>
  <c r="J28" i="2"/>
  <c r="L28" i="2" s="1"/>
  <c r="N28" i="2" s="1"/>
  <c r="P28" i="2" s="1"/>
  <c r="R28" i="2" s="1"/>
  <c r="R28" i="3" s="1"/>
  <c r="R28" i="4" s="1"/>
  <c r="K28" i="2"/>
  <c r="M28" i="2" s="1"/>
  <c r="O28" i="2" s="1"/>
  <c r="Q28" i="2" s="1"/>
  <c r="J27" i="2"/>
  <c r="L27" i="2" s="1"/>
  <c r="N27" i="2" s="1"/>
  <c r="P27" i="2" s="1"/>
  <c r="R27" i="2" s="1"/>
  <c r="R27" i="3" s="1"/>
  <c r="R27" i="4" s="1"/>
  <c r="K27" i="2"/>
  <c r="M27" i="2" s="1"/>
  <c r="O27" i="2" s="1"/>
  <c r="Q27" i="2" s="1"/>
  <c r="J26" i="2"/>
  <c r="L26" i="2" s="1"/>
  <c r="N26" i="2" s="1"/>
  <c r="P26" i="2" s="1"/>
  <c r="R26" i="2" s="1"/>
  <c r="R26" i="3" s="1"/>
  <c r="R26" i="4" s="1"/>
  <c r="K26" i="2"/>
  <c r="M26" i="2" s="1"/>
  <c r="O26" i="2" s="1"/>
  <c r="Q26" i="2" s="1"/>
  <c r="J25" i="2"/>
  <c r="L25" i="2" s="1"/>
  <c r="N25" i="2" s="1"/>
  <c r="P25" i="2" s="1"/>
  <c r="R25" i="2" s="1"/>
  <c r="R25" i="3" s="1"/>
  <c r="R25" i="4" s="1"/>
  <c r="K25" i="2"/>
  <c r="M25" i="2" s="1"/>
  <c r="O25" i="2" s="1"/>
  <c r="Q25" i="2" s="1"/>
  <c r="J24" i="2"/>
  <c r="L24" i="2" s="1"/>
  <c r="N24" i="2" s="1"/>
  <c r="P24" i="2" s="1"/>
  <c r="R24" i="2" s="1"/>
  <c r="R24" i="3" s="1"/>
  <c r="R24" i="4" s="1"/>
  <c r="K24" i="2"/>
  <c r="M24" i="2" s="1"/>
  <c r="O24" i="2" s="1"/>
  <c r="Q24" i="2" s="1"/>
  <c r="J23" i="2"/>
  <c r="L23" i="2" s="1"/>
  <c r="N23" i="2" s="1"/>
  <c r="P23" i="2" s="1"/>
  <c r="R23" i="2" s="1"/>
  <c r="R23" i="3" s="1"/>
  <c r="R23" i="4" s="1"/>
  <c r="K23" i="2"/>
  <c r="M23" i="2" s="1"/>
  <c r="O23" i="2" s="1"/>
  <c r="Q23" i="2" s="1"/>
  <c r="J22" i="2"/>
  <c r="L22" i="2" s="1"/>
  <c r="N22" i="2" s="1"/>
  <c r="P22" i="2" s="1"/>
  <c r="R22" i="2" s="1"/>
  <c r="R22" i="3" s="1"/>
  <c r="R22" i="4" s="1"/>
  <c r="K22" i="2"/>
  <c r="M22" i="2" s="1"/>
  <c r="O22" i="2" s="1"/>
  <c r="Q22" i="2" s="1"/>
  <c r="J29" i="2"/>
  <c r="L29" i="2" s="1"/>
  <c r="N29" i="2" s="1"/>
  <c r="P29" i="2" s="1"/>
  <c r="R29" i="2" s="1"/>
  <c r="R29" i="3" s="1"/>
  <c r="R29" i="4" s="1"/>
  <c r="K29" i="2"/>
  <c r="M29" i="2" s="1"/>
  <c r="O29" i="2" s="1"/>
  <c r="Q29" i="2" s="1"/>
  <c r="J30" i="2"/>
  <c r="L30" i="2" s="1"/>
  <c r="N30" i="2" s="1"/>
  <c r="P30" i="2" s="1"/>
  <c r="R30" i="2" s="1"/>
  <c r="R30" i="3" s="1"/>
  <c r="R30" i="4" s="1"/>
  <c r="K30" i="2"/>
  <c r="M30" i="2" s="1"/>
  <c r="O30" i="2" s="1"/>
  <c r="Q30" i="2" s="1"/>
  <c r="J31" i="2"/>
  <c r="L31" i="2" s="1"/>
  <c r="N31" i="2" s="1"/>
  <c r="P31" i="2" s="1"/>
  <c r="R31" i="2" s="1"/>
  <c r="R31" i="3" s="1"/>
  <c r="R31" i="4" s="1"/>
  <c r="K31" i="2"/>
  <c r="M31" i="2" s="1"/>
  <c r="O31" i="2" s="1"/>
  <c r="Q31" i="2" s="1"/>
  <c r="J32" i="2"/>
  <c r="L32" i="2" s="1"/>
  <c r="N32" i="2" s="1"/>
  <c r="P32" i="2" s="1"/>
  <c r="R32" i="2" s="1"/>
  <c r="R32" i="3" s="1"/>
  <c r="R32" i="4" s="1"/>
  <c r="K32" i="2"/>
  <c r="M32" i="2" s="1"/>
  <c r="O32" i="2" s="1"/>
  <c r="Q32" i="2" s="1"/>
  <c r="J33" i="2"/>
  <c r="L33" i="2" s="1"/>
  <c r="N33" i="2" s="1"/>
  <c r="P33" i="2" s="1"/>
  <c r="R33" i="2" s="1"/>
  <c r="R33" i="3" s="1"/>
  <c r="R33" i="4" s="1"/>
  <c r="K33" i="2"/>
  <c r="M33" i="2" s="1"/>
  <c r="O33" i="2" s="1"/>
  <c r="Q33" i="2" s="1"/>
  <c r="J34" i="2"/>
  <c r="L34" i="2" s="1"/>
  <c r="N34" i="2" s="1"/>
  <c r="P34" i="2" s="1"/>
  <c r="R34" i="2" s="1"/>
  <c r="R34" i="3" s="1"/>
  <c r="R34" i="4" s="1"/>
  <c r="K34" i="2"/>
  <c r="M34" i="2" s="1"/>
  <c r="O34" i="2" s="1"/>
  <c r="Q34" i="2" s="1"/>
  <c r="J35" i="2"/>
  <c r="L35" i="2" s="1"/>
  <c r="N35" i="2" s="1"/>
  <c r="P35" i="2" s="1"/>
  <c r="R35" i="2" s="1"/>
  <c r="R35" i="3" s="1"/>
  <c r="R35" i="4" s="1"/>
  <c r="K35" i="2"/>
  <c r="M35" i="2" s="1"/>
  <c r="O35" i="2" s="1"/>
  <c r="Q35" i="2" s="1"/>
  <c r="J36" i="2"/>
  <c r="K36" i="2"/>
  <c r="M36" i="2" s="1"/>
  <c r="O36" i="2" s="1"/>
  <c r="Q36" i="2" s="1"/>
  <c r="J37" i="2"/>
  <c r="L37" i="2" s="1"/>
  <c r="N37" i="2" s="1"/>
  <c r="P37" i="2" s="1"/>
  <c r="R37" i="2" s="1"/>
  <c r="R37" i="3" s="1"/>
  <c r="R37" i="4" s="1"/>
  <c r="K37" i="2"/>
  <c r="M37" i="2" s="1"/>
  <c r="O37" i="2" s="1"/>
  <c r="Q37" i="2" s="1"/>
  <c r="J38" i="2"/>
  <c r="L38" i="2" s="1"/>
  <c r="N38" i="2" s="1"/>
  <c r="P38" i="2" s="1"/>
  <c r="R38" i="2" s="1"/>
  <c r="R38" i="3" s="1"/>
  <c r="R38" i="4" s="1"/>
  <c r="K38" i="2"/>
  <c r="M38" i="2" s="1"/>
  <c r="O38" i="2" s="1"/>
  <c r="Q38" i="2" s="1"/>
  <c r="J39" i="2"/>
  <c r="L39" i="2" s="1"/>
  <c r="N39" i="2" s="1"/>
  <c r="P39" i="2" s="1"/>
  <c r="R39" i="2" s="1"/>
  <c r="R39" i="3" s="1"/>
  <c r="R39" i="4" s="1"/>
  <c r="K39" i="2"/>
  <c r="M39" i="2" s="1"/>
  <c r="O39" i="2" s="1"/>
  <c r="Q39" i="2" s="1"/>
  <c r="J40" i="2"/>
  <c r="L40" i="2" s="1"/>
  <c r="N40" i="2" s="1"/>
  <c r="P40" i="2" s="1"/>
  <c r="R40" i="2" s="1"/>
  <c r="R40" i="3" s="1"/>
  <c r="R40" i="4" s="1"/>
  <c r="K40" i="2"/>
  <c r="M40" i="2" s="1"/>
  <c r="O40" i="2" s="1"/>
  <c r="Q40" i="2" s="1"/>
  <c r="J41" i="2"/>
  <c r="L41" i="2" s="1"/>
  <c r="N41" i="2" s="1"/>
  <c r="P41" i="2" s="1"/>
  <c r="R41" i="2" s="1"/>
  <c r="R41" i="3" s="1"/>
  <c r="R41" i="4" s="1"/>
  <c r="K41" i="2"/>
  <c r="M41" i="2" s="1"/>
  <c r="O41" i="2" s="1"/>
  <c r="Q41" i="2" s="1"/>
  <c r="J42" i="2"/>
  <c r="L42" i="2" s="1"/>
  <c r="N42" i="2" s="1"/>
  <c r="P42" i="2" s="1"/>
  <c r="R42" i="2" s="1"/>
  <c r="R42" i="3" s="1"/>
  <c r="R42" i="4" s="1"/>
  <c r="K42" i="2"/>
  <c r="M42" i="2" s="1"/>
  <c r="O42" i="2" s="1"/>
  <c r="Q42" i="2" s="1"/>
  <c r="J43" i="2"/>
  <c r="L43" i="2" s="1"/>
  <c r="N43" i="2" s="1"/>
  <c r="P43" i="2" s="1"/>
  <c r="R43" i="2" s="1"/>
  <c r="R43" i="3" s="1"/>
  <c r="R43" i="4" s="1"/>
  <c r="K43" i="2"/>
  <c r="M43" i="2" s="1"/>
  <c r="O43" i="2" s="1"/>
  <c r="Q43" i="2" s="1"/>
  <c r="J44" i="2"/>
  <c r="L44" i="2" s="1"/>
  <c r="N44" i="2" s="1"/>
  <c r="P44" i="2" s="1"/>
  <c r="R44" i="2" s="1"/>
  <c r="R44" i="3" s="1"/>
  <c r="R44" i="4" s="1"/>
  <c r="K44" i="2"/>
  <c r="M44" i="2" s="1"/>
  <c r="O44" i="2" s="1"/>
  <c r="Q44" i="2" s="1"/>
  <c r="J45" i="2"/>
  <c r="K45" i="2"/>
  <c r="M45" i="2" s="1"/>
  <c r="O45" i="2" s="1"/>
  <c r="Q45" i="2" s="1"/>
  <c r="J46" i="2"/>
  <c r="K46" i="2"/>
  <c r="M46" i="2" s="1"/>
  <c r="O46" i="2" s="1"/>
  <c r="Q46" i="2" s="1"/>
  <c r="J47" i="2"/>
  <c r="K47" i="2"/>
  <c r="M47" i="2" s="1"/>
  <c r="O47" i="2" s="1"/>
  <c r="Q47" i="2" s="1"/>
  <c r="J48" i="2"/>
  <c r="K48" i="2"/>
  <c r="M48" i="2" s="1"/>
  <c r="O48" i="2" s="1"/>
  <c r="Q48" i="2" s="1"/>
  <c r="J49" i="2"/>
  <c r="K49" i="2"/>
  <c r="M49" i="2" s="1"/>
  <c r="O49" i="2" s="1"/>
  <c r="Q49" i="2" s="1"/>
  <c r="J50" i="2"/>
  <c r="K50" i="2"/>
  <c r="M50" i="2" s="1"/>
  <c r="O50" i="2" s="1"/>
  <c r="Q50" i="2" s="1"/>
  <c r="J20" i="2"/>
  <c r="K20" i="2"/>
  <c r="M20" i="2" s="1"/>
  <c r="O20" i="2" s="1"/>
  <c r="Q20" i="2" s="1"/>
  <c r="J21" i="2"/>
  <c r="L21" i="2" s="1"/>
  <c r="N21" i="2" s="1"/>
  <c r="P21" i="2" s="1"/>
  <c r="R21" i="2" s="1"/>
  <c r="R21" i="3" s="1"/>
  <c r="R21" i="4" s="1"/>
  <c r="K21" i="2"/>
  <c r="M21" i="2" s="1"/>
  <c r="O21" i="2" s="1"/>
  <c r="Q21" i="2" s="1"/>
  <c r="J51" i="2"/>
  <c r="L51" i="2" s="1"/>
  <c r="N51" i="2" s="1"/>
  <c r="P51" i="2" s="1"/>
  <c r="R51" i="2" s="1"/>
  <c r="R51" i="3" s="1"/>
  <c r="R51" i="4" s="1"/>
  <c r="K51" i="2"/>
  <c r="M51" i="2" s="1"/>
  <c r="O51" i="2" s="1"/>
  <c r="Q51" i="2" s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K5" i="3"/>
  <c r="K5" i="4" s="1"/>
  <c r="K6" i="3"/>
  <c r="K6" i="4" s="1"/>
  <c r="K8" i="3"/>
  <c r="K8" i="4" s="1"/>
  <c r="K9" i="3"/>
  <c r="K9" i="4" s="1"/>
  <c r="K10" i="3"/>
  <c r="K10" i="4" s="1"/>
  <c r="K18" i="3"/>
  <c r="K18" i="4" s="1"/>
  <c r="K36" i="3"/>
  <c r="K36" i="4" s="1"/>
  <c r="K45" i="3"/>
  <c r="K45" i="4" s="1"/>
  <c r="K46" i="3"/>
  <c r="K46" i="4" s="1"/>
  <c r="K47" i="3"/>
  <c r="K47" i="4" s="1"/>
  <c r="K48" i="3"/>
  <c r="K48" i="4" s="1"/>
  <c r="K49" i="3"/>
  <c r="K49" i="4" s="1"/>
  <c r="K50" i="3"/>
  <c r="K50" i="4" s="1"/>
  <c r="K20" i="3"/>
  <c r="K20" i="4" s="1"/>
  <c r="M50" i="3"/>
  <c r="M50" i="4" s="1"/>
  <c r="O50" i="3"/>
  <c r="O50" i="4" s="1"/>
  <c r="Q50" i="3"/>
  <c r="Q50" i="4" s="1"/>
  <c r="M49" i="3"/>
  <c r="M49" i="4" s="1"/>
  <c r="O49" i="3"/>
  <c r="O49" i="4" s="1"/>
  <c r="Q49" i="3"/>
  <c r="Q49" i="4" s="1"/>
  <c r="M48" i="3"/>
  <c r="M48" i="4" s="1"/>
  <c r="O48" i="3"/>
  <c r="O48" i="4" s="1"/>
  <c r="Q48" i="3"/>
  <c r="Q48" i="4" s="1"/>
  <c r="M47" i="3"/>
  <c r="M47" i="4" s="1"/>
  <c r="O47" i="3"/>
  <c r="O47" i="4" s="1"/>
  <c r="Q47" i="3"/>
  <c r="Q47" i="4" s="1"/>
  <c r="M46" i="3"/>
  <c r="M46" i="4" s="1"/>
  <c r="O46" i="3"/>
  <c r="O46" i="4" s="1"/>
  <c r="Q46" i="3"/>
  <c r="Q46" i="4" s="1"/>
  <c r="M45" i="3"/>
  <c r="M45" i="4" s="1"/>
  <c r="O45" i="3"/>
  <c r="O45" i="4" s="1"/>
  <c r="Q45" i="3"/>
  <c r="Q45" i="4" s="1"/>
  <c r="M36" i="3"/>
  <c r="M36" i="4" s="1"/>
  <c r="O36" i="3"/>
  <c r="O36" i="4" s="1"/>
  <c r="Q36" i="3"/>
  <c r="Q36" i="4" s="1"/>
  <c r="M20" i="3"/>
  <c r="M20" i="4" s="1"/>
  <c r="O20" i="3"/>
  <c r="O20" i="4" s="1"/>
  <c r="Q20" i="3"/>
  <c r="Q20" i="4" s="1"/>
  <c r="M18" i="3"/>
  <c r="M18" i="4" s="1"/>
  <c r="O18" i="3"/>
  <c r="O18" i="4" s="1"/>
  <c r="Q18" i="3"/>
  <c r="Q18" i="4" s="1"/>
  <c r="M10" i="3"/>
  <c r="M10" i="4" s="1"/>
  <c r="O10" i="3"/>
  <c r="O10" i="4" s="1"/>
  <c r="Q10" i="3"/>
  <c r="Q10" i="4" s="1"/>
  <c r="M9" i="3"/>
  <c r="M9" i="4" s="1"/>
  <c r="O9" i="3"/>
  <c r="O9" i="4" s="1"/>
  <c r="Q9" i="3"/>
  <c r="Q9" i="4" s="1"/>
  <c r="M8" i="3"/>
  <c r="M8" i="4" s="1"/>
  <c r="O8" i="3"/>
  <c r="O8" i="4" s="1"/>
  <c r="Q8" i="3"/>
  <c r="Q8" i="4" s="1"/>
  <c r="M6" i="3"/>
  <c r="M6" i="4" s="1"/>
  <c r="O6" i="3"/>
  <c r="O6" i="4" s="1"/>
  <c r="Q6" i="3"/>
  <c r="Q6" i="4" s="1"/>
  <c r="M5" i="3"/>
  <c r="M5" i="4" s="1"/>
  <c r="O5" i="3"/>
  <c r="O5" i="4" s="1"/>
  <c r="Q5" i="3"/>
  <c r="Q5" i="4" s="1"/>
  <c r="L15" i="2" l="1"/>
  <c r="N15" i="2" s="1"/>
  <c r="P15" i="2" s="1"/>
  <c r="R15" i="2" s="1"/>
  <c r="R15" i="3" s="1"/>
  <c r="R15" i="4" s="1"/>
  <c r="J15" i="3"/>
  <c r="N1" i="4"/>
  <c r="N1" i="3"/>
  <c r="N1" i="2"/>
  <c r="N2" i="2"/>
  <c r="P2" i="2" s="1"/>
  <c r="R2" i="2" s="1"/>
  <c r="R2" i="3" s="1"/>
  <c r="R2" i="4" s="1"/>
  <c r="L20" i="2"/>
  <c r="J20" i="3"/>
  <c r="J20" i="4" s="1"/>
  <c r="L50" i="2"/>
  <c r="J50" i="3"/>
  <c r="J50" i="4" s="1"/>
  <c r="L49" i="2"/>
  <c r="J49" i="3"/>
  <c r="J49" i="4" s="1"/>
  <c r="L48" i="2"/>
  <c r="J48" i="3"/>
  <c r="J48" i="4" s="1"/>
  <c r="L47" i="2"/>
  <c r="J47" i="3"/>
  <c r="J47" i="4" s="1"/>
  <c r="L46" i="2"/>
  <c r="J46" i="3"/>
  <c r="J46" i="4" s="1"/>
  <c r="L45" i="2"/>
  <c r="J45" i="3"/>
  <c r="J45" i="4" s="1"/>
  <c r="L36" i="2"/>
  <c r="J36" i="3"/>
  <c r="J36" i="4" s="1"/>
  <c r="L18" i="2"/>
  <c r="J18" i="3"/>
  <c r="J18" i="4" s="1"/>
  <c r="L10" i="2"/>
  <c r="J10" i="3"/>
  <c r="J10" i="4" s="1"/>
  <c r="L9" i="2"/>
  <c r="J9" i="3"/>
  <c r="J9" i="4" s="1"/>
  <c r="L8" i="2"/>
  <c r="J8" i="3"/>
  <c r="J8" i="4" s="1"/>
  <c r="L6" i="2"/>
  <c r="J6" i="3"/>
  <c r="J6" i="4" s="1"/>
  <c r="L5" i="2"/>
  <c r="J5" i="3"/>
  <c r="J5" i="4" s="1"/>
  <c r="K7" i="3"/>
  <c r="K7" i="4" s="1"/>
  <c r="J7" i="3"/>
  <c r="J7" i="4" s="1"/>
  <c r="K17" i="3"/>
  <c r="K17" i="4" s="1"/>
  <c r="J17" i="3"/>
  <c r="J17" i="4" s="1"/>
  <c r="K16" i="3"/>
  <c r="K16" i="4" s="1"/>
  <c r="J16" i="3"/>
  <c r="J16" i="4" s="1"/>
  <c r="K15" i="3"/>
  <c r="K15" i="4" s="1"/>
  <c r="J15" i="4"/>
  <c r="K14" i="3"/>
  <c r="K14" i="4" s="1"/>
  <c r="J14" i="3"/>
  <c r="J14" i="4" s="1"/>
  <c r="K13" i="3"/>
  <c r="K13" i="4" s="1"/>
  <c r="J13" i="3"/>
  <c r="J13" i="4" s="1"/>
  <c r="K12" i="3"/>
  <c r="K12" i="4" s="1"/>
  <c r="J12" i="3"/>
  <c r="J12" i="4" s="1"/>
  <c r="K11" i="3"/>
  <c r="K11" i="4" s="1"/>
  <c r="J11" i="3"/>
  <c r="J11" i="4" s="1"/>
  <c r="K22" i="3"/>
  <c r="K22" i="4" s="1"/>
  <c r="J22" i="3"/>
  <c r="J22" i="4" s="1"/>
  <c r="K23" i="3"/>
  <c r="K23" i="4" s="1"/>
  <c r="J23" i="3"/>
  <c r="J23" i="4" s="1"/>
  <c r="K24" i="3"/>
  <c r="K24" i="4" s="1"/>
  <c r="J24" i="3"/>
  <c r="J24" i="4" s="1"/>
  <c r="K25" i="3"/>
  <c r="K25" i="4" s="1"/>
  <c r="J25" i="3"/>
  <c r="J25" i="4" s="1"/>
  <c r="K26" i="3"/>
  <c r="K26" i="4" s="1"/>
  <c r="J26" i="3"/>
  <c r="J26" i="4" s="1"/>
  <c r="K27" i="3"/>
  <c r="K27" i="4" s="1"/>
  <c r="J27" i="3"/>
  <c r="J27" i="4" s="1"/>
  <c r="K28" i="3"/>
  <c r="K28" i="4" s="1"/>
  <c r="J28" i="3"/>
  <c r="J28" i="4" s="1"/>
  <c r="K19" i="3"/>
  <c r="K19" i="4" s="1"/>
  <c r="J19" i="3"/>
  <c r="J19" i="4" s="1"/>
  <c r="K35" i="3"/>
  <c r="K35" i="4" s="1"/>
  <c r="J35" i="3"/>
  <c r="J35" i="4" s="1"/>
  <c r="K34" i="3"/>
  <c r="K34" i="4" s="1"/>
  <c r="J34" i="3"/>
  <c r="J34" i="4" s="1"/>
  <c r="K33" i="3"/>
  <c r="K33" i="4" s="1"/>
  <c r="J33" i="3"/>
  <c r="J33" i="4" s="1"/>
  <c r="K32" i="3"/>
  <c r="K32" i="4" s="1"/>
  <c r="J32" i="3"/>
  <c r="J32" i="4" s="1"/>
  <c r="K31" i="3"/>
  <c r="K31" i="4" s="1"/>
  <c r="J31" i="3"/>
  <c r="J31" i="4" s="1"/>
  <c r="K30" i="3"/>
  <c r="K30" i="4" s="1"/>
  <c r="J30" i="3"/>
  <c r="J30" i="4" s="1"/>
  <c r="K29" i="3"/>
  <c r="K29" i="4" s="1"/>
  <c r="J29" i="3"/>
  <c r="J29" i="4" s="1"/>
  <c r="K44" i="3"/>
  <c r="K44" i="4" s="1"/>
  <c r="J44" i="3"/>
  <c r="J44" i="4" s="1"/>
  <c r="K43" i="3"/>
  <c r="K43" i="4" s="1"/>
  <c r="J43" i="3"/>
  <c r="J43" i="4" s="1"/>
  <c r="K42" i="3"/>
  <c r="K42" i="4" s="1"/>
  <c r="J42" i="3"/>
  <c r="J42" i="4" s="1"/>
  <c r="K41" i="3"/>
  <c r="K41" i="4" s="1"/>
  <c r="J41" i="3"/>
  <c r="J41" i="4" s="1"/>
  <c r="K40" i="3"/>
  <c r="K40" i="4" s="1"/>
  <c r="J40" i="3"/>
  <c r="J40" i="4" s="1"/>
  <c r="K39" i="3"/>
  <c r="K39" i="4" s="1"/>
  <c r="J39" i="3"/>
  <c r="J39" i="4" s="1"/>
  <c r="K38" i="3"/>
  <c r="K38" i="4" s="1"/>
  <c r="J38" i="3"/>
  <c r="J38" i="4" s="1"/>
  <c r="K37" i="3"/>
  <c r="K37" i="4" s="1"/>
  <c r="J37" i="3"/>
  <c r="J37" i="4" s="1"/>
  <c r="K51" i="3"/>
  <c r="K51" i="4" s="1"/>
  <c r="J51" i="3"/>
  <c r="J51" i="4" s="1"/>
  <c r="K21" i="3"/>
  <c r="K21" i="4" s="1"/>
  <c r="J21" i="3"/>
  <c r="J21" i="4" s="1"/>
  <c r="K4" i="3"/>
  <c r="K4" i="4" s="1"/>
  <c r="J4" i="3"/>
  <c r="J4" i="4" s="1"/>
  <c r="K3" i="3"/>
  <c r="K3" i="4" s="1"/>
  <c r="J3" i="3"/>
  <c r="J3" i="4" s="1"/>
  <c r="L51" i="3"/>
  <c r="L51" i="4" s="1"/>
  <c r="M51" i="3"/>
  <c r="M51" i="4" s="1"/>
  <c r="N51" i="3"/>
  <c r="N51" i="4" s="1"/>
  <c r="O51" i="3"/>
  <c r="O51" i="4" s="1"/>
  <c r="P51" i="3"/>
  <c r="P51" i="4" s="1"/>
  <c r="Q51" i="3"/>
  <c r="Q51" i="4" s="1"/>
  <c r="L21" i="3"/>
  <c r="L21" i="4" s="1"/>
  <c r="M21" i="3"/>
  <c r="M21" i="4" s="1"/>
  <c r="N21" i="3"/>
  <c r="N21" i="4" s="1"/>
  <c r="O21" i="3"/>
  <c r="O21" i="4" s="1"/>
  <c r="P21" i="3"/>
  <c r="P21" i="4" s="1"/>
  <c r="Q21" i="3"/>
  <c r="Q21" i="4" s="1"/>
  <c r="L44" i="3"/>
  <c r="L44" i="4" s="1"/>
  <c r="M44" i="3"/>
  <c r="M44" i="4" s="1"/>
  <c r="N44" i="3"/>
  <c r="N44" i="4" s="1"/>
  <c r="O44" i="3"/>
  <c r="O44" i="4" s="1"/>
  <c r="P44" i="3"/>
  <c r="P44" i="4" s="1"/>
  <c r="Q44" i="3"/>
  <c r="Q44" i="4" s="1"/>
  <c r="L43" i="3"/>
  <c r="L43" i="4" s="1"/>
  <c r="M43" i="3"/>
  <c r="M43" i="4" s="1"/>
  <c r="N43" i="3"/>
  <c r="N43" i="4" s="1"/>
  <c r="O43" i="3"/>
  <c r="O43" i="4" s="1"/>
  <c r="P43" i="3"/>
  <c r="P43" i="4" s="1"/>
  <c r="Q43" i="3"/>
  <c r="Q43" i="4" s="1"/>
  <c r="L42" i="3"/>
  <c r="L42" i="4" s="1"/>
  <c r="M42" i="3"/>
  <c r="M42" i="4" s="1"/>
  <c r="N42" i="3"/>
  <c r="N42" i="4" s="1"/>
  <c r="O42" i="3"/>
  <c r="O42" i="4" s="1"/>
  <c r="P42" i="3"/>
  <c r="P42" i="4" s="1"/>
  <c r="Q42" i="3"/>
  <c r="Q42" i="4" s="1"/>
  <c r="L41" i="3"/>
  <c r="L41" i="4" s="1"/>
  <c r="M41" i="3"/>
  <c r="M41" i="4" s="1"/>
  <c r="N41" i="3"/>
  <c r="N41" i="4" s="1"/>
  <c r="O41" i="3"/>
  <c r="O41" i="4" s="1"/>
  <c r="P41" i="3"/>
  <c r="P41" i="4" s="1"/>
  <c r="Q41" i="3"/>
  <c r="Q41" i="4" s="1"/>
  <c r="L40" i="3"/>
  <c r="L40" i="4" s="1"/>
  <c r="M40" i="3"/>
  <c r="M40" i="4" s="1"/>
  <c r="N40" i="3"/>
  <c r="N40" i="4" s="1"/>
  <c r="O40" i="3"/>
  <c r="O40" i="4" s="1"/>
  <c r="P40" i="3"/>
  <c r="P40" i="4" s="1"/>
  <c r="Q40" i="3"/>
  <c r="Q40" i="4" s="1"/>
  <c r="L39" i="3"/>
  <c r="L39" i="4" s="1"/>
  <c r="M39" i="3"/>
  <c r="M39" i="4" s="1"/>
  <c r="N39" i="3"/>
  <c r="N39" i="4" s="1"/>
  <c r="O39" i="3"/>
  <c r="O39" i="4" s="1"/>
  <c r="P39" i="3"/>
  <c r="P39" i="4" s="1"/>
  <c r="Q39" i="3"/>
  <c r="Q39" i="4" s="1"/>
  <c r="L38" i="3"/>
  <c r="L38" i="4" s="1"/>
  <c r="M38" i="3"/>
  <c r="M38" i="4" s="1"/>
  <c r="N38" i="3"/>
  <c r="N38" i="4" s="1"/>
  <c r="O38" i="3"/>
  <c r="O38" i="4" s="1"/>
  <c r="P38" i="3"/>
  <c r="P38" i="4" s="1"/>
  <c r="Q38" i="3"/>
  <c r="Q38" i="4" s="1"/>
  <c r="L37" i="3"/>
  <c r="L37" i="4" s="1"/>
  <c r="M37" i="3"/>
  <c r="M37" i="4" s="1"/>
  <c r="N37" i="3"/>
  <c r="N37" i="4" s="1"/>
  <c r="O37" i="3"/>
  <c r="O37" i="4" s="1"/>
  <c r="P37" i="3"/>
  <c r="P37" i="4" s="1"/>
  <c r="Q37" i="3"/>
  <c r="Q37" i="4" s="1"/>
  <c r="L35" i="3"/>
  <c r="L35" i="4" s="1"/>
  <c r="M35" i="3"/>
  <c r="M35" i="4" s="1"/>
  <c r="N35" i="3"/>
  <c r="N35" i="4" s="1"/>
  <c r="O35" i="3"/>
  <c r="O35" i="4" s="1"/>
  <c r="P35" i="3"/>
  <c r="P35" i="4" s="1"/>
  <c r="Q35" i="3"/>
  <c r="Q35" i="4" s="1"/>
  <c r="L34" i="3"/>
  <c r="L34" i="4" s="1"/>
  <c r="M34" i="3"/>
  <c r="M34" i="4" s="1"/>
  <c r="N34" i="3"/>
  <c r="N34" i="4" s="1"/>
  <c r="O34" i="3"/>
  <c r="O34" i="4" s="1"/>
  <c r="P34" i="3"/>
  <c r="P34" i="4" s="1"/>
  <c r="Q34" i="3"/>
  <c r="Q34" i="4" s="1"/>
  <c r="L33" i="3"/>
  <c r="L33" i="4" s="1"/>
  <c r="M33" i="3"/>
  <c r="M33" i="4" s="1"/>
  <c r="N33" i="3"/>
  <c r="N33" i="4" s="1"/>
  <c r="O33" i="3"/>
  <c r="O33" i="4" s="1"/>
  <c r="P33" i="3"/>
  <c r="P33" i="4" s="1"/>
  <c r="Q33" i="3"/>
  <c r="Q33" i="4" s="1"/>
  <c r="L32" i="3"/>
  <c r="L32" i="4" s="1"/>
  <c r="M32" i="3"/>
  <c r="M32" i="4" s="1"/>
  <c r="N32" i="3"/>
  <c r="N32" i="4" s="1"/>
  <c r="O32" i="3"/>
  <c r="O32" i="4" s="1"/>
  <c r="P32" i="3"/>
  <c r="P32" i="4" s="1"/>
  <c r="Q32" i="3"/>
  <c r="Q32" i="4" s="1"/>
  <c r="L31" i="3"/>
  <c r="L31" i="4" s="1"/>
  <c r="M31" i="3"/>
  <c r="M31" i="4" s="1"/>
  <c r="N31" i="3"/>
  <c r="N31" i="4" s="1"/>
  <c r="O31" i="3"/>
  <c r="O31" i="4" s="1"/>
  <c r="P31" i="3"/>
  <c r="P31" i="4" s="1"/>
  <c r="Q31" i="3"/>
  <c r="Q31" i="4" s="1"/>
  <c r="L30" i="3"/>
  <c r="L30" i="4" s="1"/>
  <c r="M30" i="3"/>
  <c r="M30" i="4" s="1"/>
  <c r="N30" i="3"/>
  <c r="N30" i="4" s="1"/>
  <c r="O30" i="3"/>
  <c r="O30" i="4" s="1"/>
  <c r="P30" i="3"/>
  <c r="P30" i="4" s="1"/>
  <c r="Q30" i="3"/>
  <c r="Q30" i="4" s="1"/>
  <c r="L29" i="3"/>
  <c r="L29" i="4" s="1"/>
  <c r="M29" i="3"/>
  <c r="M29" i="4" s="1"/>
  <c r="N29" i="3"/>
  <c r="N29" i="4" s="1"/>
  <c r="O29" i="3"/>
  <c r="O29" i="4" s="1"/>
  <c r="P29" i="3"/>
  <c r="P29" i="4" s="1"/>
  <c r="Q29" i="3"/>
  <c r="Q29" i="4" s="1"/>
  <c r="L22" i="3"/>
  <c r="L22" i="4" s="1"/>
  <c r="M22" i="3"/>
  <c r="M22" i="4" s="1"/>
  <c r="N22" i="3"/>
  <c r="N22" i="4" s="1"/>
  <c r="O22" i="3"/>
  <c r="O22" i="4" s="1"/>
  <c r="P22" i="3"/>
  <c r="P22" i="4" s="1"/>
  <c r="Q22" i="3"/>
  <c r="Q22" i="4" s="1"/>
  <c r="L23" i="3"/>
  <c r="L23" i="4" s="1"/>
  <c r="M23" i="3"/>
  <c r="M23" i="4" s="1"/>
  <c r="N23" i="3"/>
  <c r="N23" i="4" s="1"/>
  <c r="O23" i="3"/>
  <c r="O23" i="4" s="1"/>
  <c r="P23" i="3"/>
  <c r="P23" i="4" s="1"/>
  <c r="Q23" i="3"/>
  <c r="Q23" i="4" s="1"/>
  <c r="L24" i="3"/>
  <c r="L24" i="4" s="1"/>
  <c r="M24" i="3"/>
  <c r="M24" i="4" s="1"/>
  <c r="N24" i="3"/>
  <c r="N24" i="4" s="1"/>
  <c r="O24" i="3"/>
  <c r="O24" i="4" s="1"/>
  <c r="P24" i="3"/>
  <c r="P24" i="4" s="1"/>
  <c r="Q24" i="3"/>
  <c r="Q24" i="4" s="1"/>
  <c r="L25" i="3"/>
  <c r="L25" i="4" s="1"/>
  <c r="M25" i="3"/>
  <c r="M25" i="4" s="1"/>
  <c r="N25" i="3"/>
  <c r="N25" i="4" s="1"/>
  <c r="O25" i="3"/>
  <c r="O25" i="4" s="1"/>
  <c r="P25" i="3"/>
  <c r="P25" i="4" s="1"/>
  <c r="Q25" i="3"/>
  <c r="Q25" i="4" s="1"/>
  <c r="L26" i="3"/>
  <c r="L26" i="4" s="1"/>
  <c r="M26" i="3"/>
  <c r="M26" i="4" s="1"/>
  <c r="N26" i="3"/>
  <c r="N26" i="4" s="1"/>
  <c r="O26" i="3"/>
  <c r="O26" i="4" s="1"/>
  <c r="P26" i="3"/>
  <c r="P26" i="4" s="1"/>
  <c r="Q26" i="3"/>
  <c r="Q26" i="4" s="1"/>
  <c r="L27" i="3"/>
  <c r="L27" i="4" s="1"/>
  <c r="M27" i="3"/>
  <c r="M27" i="4" s="1"/>
  <c r="N27" i="3"/>
  <c r="N27" i="4" s="1"/>
  <c r="O27" i="3"/>
  <c r="O27" i="4" s="1"/>
  <c r="P27" i="3"/>
  <c r="P27" i="4" s="1"/>
  <c r="Q27" i="3"/>
  <c r="Q27" i="4" s="1"/>
  <c r="L28" i="3"/>
  <c r="L28" i="4" s="1"/>
  <c r="M28" i="3"/>
  <c r="M28" i="4" s="1"/>
  <c r="N28" i="3"/>
  <c r="N28" i="4" s="1"/>
  <c r="O28" i="3"/>
  <c r="O28" i="4" s="1"/>
  <c r="P28" i="3"/>
  <c r="P28" i="4" s="1"/>
  <c r="Q28" i="3"/>
  <c r="Q28" i="4" s="1"/>
  <c r="L19" i="3"/>
  <c r="L19" i="4" s="1"/>
  <c r="M19" i="3"/>
  <c r="M19" i="4" s="1"/>
  <c r="N19" i="3"/>
  <c r="N19" i="4" s="1"/>
  <c r="O19" i="3"/>
  <c r="O19" i="4" s="1"/>
  <c r="P19" i="3"/>
  <c r="P19" i="4" s="1"/>
  <c r="Q19" i="3"/>
  <c r="Q19" i="4" s="1"/>
  <c r="L17" i="3"/>
  <c r="L17" i="4" s="1"/>
  <c r="M17" i="3"/>
  <c r="M17" i="4" s="1"/>
  <c r="N17" i="3"/>
  <c r="N17" i="4" s="1"/>
  <c r="O17" i="3"/>
  <c r="O17" i="4" s="1"/>
  <c r="P17" i="3"/>
  <c r="P17" i="4" s="1"/>
  <c r="Q17" i="3"/>
  <c r="Q17" i="4" s="1"/>
  <c r="L16" i="3"/>
  <c r="L16" i="4" s="1"/>
  <c r="M16" i="3"/>
  <c r="M16" i="4" s="1"/>
  <c r="N16" i="3"/>
  <c r="N16" i="4" s="1"/>
  <c r="O16" i="3"/>
  <c r="O16" i="4" s="1"/>
  <c r="P16" i="3"/>
  <c r="P16" i="4" s="1"/>
  <c r="Q16" i="3"/>
  <c r="Q16" i="4" s="1"/>
  <c r="L15" i="3"/>
  <c r="L15" i="4" s="1"/>
  <c r="M15" i="3"/>
  <c r="M15" i="4" s="1"/>
  <c r="N15" i="3"/>
  <c r="N15" i="4" s="1"/>
  <c r="O15" i="3"/>
  <c r="O15" i="4" s="1"/>
  <c r="P15" i="3"/>
  <c r="P15" i="4" s="1"/>
  <c r="Q15" i="3"/>
  <c r="Q15" i="4" s="1"/>
  <c r="L14" i="3"/>
  <c r="L14" i="4" s="1"/>
  <c r="M14" i="3"/>
  <c r="M14" i="4" s="1"/>
  <c r="N14" i="3"/>
  <c r="N14" i="4" s="1"/>
  <c r="O14" i="3"/>
  <c r="O14" i="4" s="1"/>
  <c r="P14" i="3"/>
  <c r="P14" i="4" s="1"/>
  <c r="Q14" i="3"/>
  <c r="Q14" i="4" s="1"/>
  <c r="L13" i="3"/>
  <c r="L13" i="4" s="1"/>
  <c r="M13" i="3"/>
  <c r="M13" i="4" s="1"/>
  <c r="N13" i="3"/>
  <c r="N13" i="4" s="1"/>
  <c r="O13" i="3"/>
  <c r="O13" i="4" s="1"/>
  <c r="P13" i="3"/>
  <c r="P13" i="4" s="1"/>
  <c r="Q13" i="3"/>
  <c r="Q13" i="4" s="1"/>
  <c r="L12" i="3"/>
  <c r="L12" i="4" s="1"/>
  <c r="M12" i="3"/>
  <c r="M12" i="4" s="1"/>
  <c r="N12" i="3"/>
  <c r="N12" i="4" s="1"/>
  <c r="O12" i="3"/>
  <c r="O12" i="4" s="1"/>
  <c r="P12" i="3"/>
  <c r="P12" i="4" s="1"/>
  <c r="Q12" i="3"/>
  <c r="Q12" i="4" s="1"/>
  <c r="L11" i="3"/>
  <c r="L11" i="4" s="1"/>
  <c r="M11" i="3"/>
  <c r="M11" i="4" s="1"/>
  <c r="N11" i="3"/>
  <c r="N11" i="4" s="1"/>
  <c r="O11" i="3"/>
  <c r="O11" i="4" s="1"/>
  <c r="P11" i="3"/>
  <c r="P11" i="4" s="1"/>
  <c r="Q11" i="3"/>
  <c r="Q11" i="4" s="1"/>
  <c r="L7" i="3"/>
  <c r="L7" i="4" s="1"/>
  <c r="M7" i="3"/>
  <c r="M7" i="4" s="1"/>
  <c r="N7" i="3"/>
  <c r="N7" i="4" s="1"/>
  <c r="O7" i="3"/>
  <c r="O7" i="4" s="1"/>
  <c r="P7" i="3"/>
  <c r="P7" i="4" s="1"/>
  <c r="Q7" i="3"/>
  <c r="Q7" i="4" s="1"/>
  <c r="L4" i="3"/>
  <c r="L4" i="4" s="1"/>
  <c r="M4" i="3"/>
  <c r="M4" i="4" s="1"/>
  <c r="N4" i="3"/>
  <c r="N4" i="4" s="1"/>
  <c r="O4" i="3"/>
  <c r="O4" i="4" s="1"/>
  <c r="P4" i="3"/>
  <c r="P4" i="4" s="1"/>
  <c r="Q4" i="3"/>
  <c r="Q4" i="4" s="1"/>
  <c r="L3" i="3"/>
  <c r="L3" i="4" s="1"/>
  <c r="M3" i="3"/>
  <c r="M3" i="4" s="1"/>
  <c r="N3" i="3"/>
  <c r="N3" i="4" s="1"/>
  <c r="O3" i="3"/>
  <c r="O3" i="4" s="1"/>
  <c r="P3" i="3"/>
  <c r="P3" i="4" s="1"/>
  <c r="Q3" i="3"/>
  <c r="Q3" i="4" s="1"/>
  <c r="N5" i="2" l="1"/>
  <c r="L5" i="3"/>
  <c r="L5" i="4" s="1"/>
  <c r="N6" i="2"/>
  <c r="L6" i="3"/>
  <c r="L6" i="4" s="1"/>
  <c r="N8" i="2"/>
  <c r="L8" i="3"/>
  <c r="L8" i="4" s="1"/>
  <c r="N9" i="2"/>
  <c r="L9" i="3"/>
  <c r="L9" i="4" s="1"/>
  <c r="N10" i="2"/>
  <c r="L10" i="3"/>
  <c r="L10" i="4" s="1"/>
  <c r="N18" i="2"/>
  <c r="L18" i="3"/>
  <c r="L18" i="4" s="1"/>
  <c r="N36" i="2"/>
  <c r="L36" i="3"/>
  <c r="L36" i="4" s="1"/>
  <c r="N45" i="2"/>
  <c r="L45" i="3"/>
  <c r="L45" i="4" s="1"/>
  <c r="N46" i="2"/>
  <c r="L46" i="3"/>
  <c r="L46" i="4" s="1"/>
  <c r="N47" i="2"/>
  <c r="L47" i="3"/>
  <c r="L47" i="4" s="1"/>
  <c r="N48" i="2"/>
  <c r="L48" i="3"/>
  <c r="L48" i="4" s="1"/>
  <c r="N49" i="2"/>
  <c r="L49" i="3"/>
  <c r="L49" i="4" s="1"/>
  <c r="N50" i="2"/>
  <c r="L50" i="3"/>
  <c r="L50" i="4" s="1"/>
  <c r="N20" i="2"/>
  <c r="L20" i="3"/>
  <c r="L20" i="4" s="1"/>
  <c r="L2" i="3"/>
  <c r="L2" i="4" s="1"/>
  <c r="K2" i="3"/>
  <c r="K2" i="4" s="1"/>
  <c r="N2" i="3"/>
  <c r="N2" i="4" s="1"/>
  <c r="O2" i="3"/>
  <c r="O2" i="4" s="1"/>
  <c r="P2" i="3"/>
  <c r="P2" i="4" s="1"/>
  <c r="Q2" i="3"/>
  <c r="Q2" i="4" s="1"/>
  <c r="M2" i="3"/>
  <c r="M2" i="4" s="1"/>
  <c r="P20" i="2" l="1"/>
  <c r="N20" i="3"/>
  <c r="N20" i="4" s="1"/>
  <c r="P50" i="2"/>
  <c r="N50" i="3"/>
  <c r="N50" i="4" s="1"/>
  <c r="P49" i="2"/>
  <c r="N49" i="3"/>
  <c r="N49" i="4" s="1"/>
  <c r="P48" i="2"/>
  <c r="N48" i="3"/>
  <c r="N48" i="4" s="1"/>
  <c r="P47" i="2"/>
  <c r="N47" i="3"/>
  <c r="N47" i="4" s="1"/>
  <c r="P46" i="2"/>
  <c r="N46" i="3"/>
  <c r="N46" i="4" s="1"/>
  <c r="P45" i="2"/>
  <c r="N45" i="3"/>
  <c r="N45" i="4" s="1"/>
  <c r="P36" i="2"/>
  <c r="N36" i="3"/>
  <c r="N36" i="4" s="1"/>
  <c r="P18" i="2"/>
  <c r="N18" i="3"/>
  <c r="N18" i="4" s="1"/>
  <c r="P10" i="2"/>
  <c r="N10" i="3"/>
  <c r="N10" i="4" s="1"/>
  <c r="P9" i="2"/>
  <c r="N9" i="3"/>
  <c r="N9" i="4" s="1"/>
  <c r="P8" i="2"/>
  <c r="N8" i="3"/>
  <c r="N8" i="4" s="1"/>
  <c r="P6" i="2"/>
  <c r="N6" i="3"/>
  <c r="N6" i="4" s="1"/>
  <c r="P5" i="2"/>
  <c r="N5" i="3"/>
  <c r="N5" i="4" s="1"/>
  <c r="P5" i="3" l="1"/>
  <c r="P5" i="4" s="1"/>
  <c r="R5" i="2"/>
  <c r="R5" i="3" s="1"/>
  <c r="R5" i="4" s="1"/>
  <c r="P6" i="3"/>
  <c r="P6" i="4" s="1"/>
  <c r="R6" i="2"/>
  <c r="R6" i="3" s="1"/>
  <c r="R6" i="4" s="1"/>
  <c r="P8" i="3"/>
  <c r="P8" i="4" s="1"/>
  <c r="R8" i="2"/>
  <c r="R8" i="3" s="1"/>
  <c r="R8" i="4" s="1"/>
  <c r="P9" i="3"/>
  <c r="P9" i="4" s="1"/>
  <c r="R9" i="2"/>
  <c r="R9" i="3" s="1"/>
  <c r="R9" i="4" s="1"/>
  <c r="P10" i="3"/>
  <c r="P10" i="4" s="1"/>
  <c r="R10" i="2"/>
  <c r="R10" i="3" s="1"/>
  <c r="R10" i="4" s="1"/>
  <c r="P18" i="3"/>
  <c r="P18" i="4" s="1"/>
  <c r="R18" i="2"/>
  <c r="R18" i="3" s="1"/>
  <c r="R18" i="4" s="1"/>
  <c r="P36" i="3"/>
  <c r="P36" i="4" s="1"/>
  <c r="R36" i="2"/>
  <c r="R36" i="3" s="1"/>
  <c r="R36" i="4" s="1"/>
  <c r="P45" i="3"/>
  <c r="P45" i="4" s="1"/>
  <c r="R45" i="2"/>
  <c r="R45" i="3" s="1"/>
  <c r="R45" i="4" s="1"/>
  <c r="P46" i="3"/>
  <c r="P46" i="4" s="1"/>
  <c r="R46" i="2"/>
  <c r="R46" i="3" s="1"/>
  <c r="R46" i="4" s="1"/>
  <c r="P47" i="3"/>
  <c r="P47" i="4" s="1"/>
  <c r="R47" i="2"/>
  <c r="R47" i="3" s="1"/>
  <c r="R47" i="4" s="1"/>
  <c r="P48" i="3"/>
  <c r="P48" i="4" s="1"/>
  <c r="R48" i="2"/>
  <c r="R48" i="3" s="1"/>
  <c r="R48" i="4" s="1"/>
  <c r="P49" i="3"/>
  <c r="P49" i="4" s="1"/>
  <c r="R49" i="2"/>
  <c r="R49" i="3" s="1"/>
  <c r="R49" i="4" s="1"/>
  <c r="P50" i="3"/>
  <c r="P50" i="4" s="1"/>
  <c r="R50" i="2"/>
  <c r="R50" i="3" s="1"/>
  <c r="R50" i="4" s="1"/>
  <c r="P20" i="3"/>
  <c r="P20" i="4" s="1"/>
  <c r="R20" i="2"/>
  <c r="R20" i="3" s="1"/>
  <c r="R2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<sst xmlns="http://schemas.openxmlformats.org/spreadsheetml/2006/main" count="564" uniqueCount="131">
  <si>
    <t>Level Item</t>
  </si>
  <si>
    <t>Valeur d'obtention minimum</t>
  </si>
  <si>
    <t>% focus N</t>
  </si>
  <si>
    <t>Nom de la stat</t>
  </si>
  <si>
    <t>Nom de rune</t>
  </si>
  <si>
    <t>Poids Rune</t>
  </si>
  <si>
    <t>Stat par rune</t>
  </si>
  <si>
    <t>Prix Rune</t>
  </si>
  <si>
    <t>Prix / poids runes</t>
  </si>
  <si>
    <t>Nombre de stats</t>
  </si>
  <si>
    <t>% Dommages aux sorts</t>
  </si>
  <si>
    <t>Do Per So</t>
  </si>
  <si>
    <t>% Dommages d'armes</t>
  </si>
  <si>
    <t>Do Per Ar</t>
  </si>
  <si>
    <t>% Dommages distance</t>
  </si>
  <si>
    <t>Do Per Di</t>
  </si>
  <si>
    <t>Par Rune, Sometimes</t>
  </si>
  <si>
    <t>% Dommages mêlée</t>
  </si>
  <si>
    <t>Do Per Mé</t>
  </si>
  <si>
    <t>Par Item</t>
  </si>
  <si>
    <t xml:space="preserve">% Résistance Air </t>
  </si>
  <si>
    <t>Ré Per Air</t>
  </si>
  <si>
    <t>Apres brisage</t>
  </si>
  <si>
    <t>% Résistance Distance</t>
  </si>
  <si>
    <t>Ré Per Di</t>
  </si>
  <si>
    <t>% Résistance Eau</t>
  </si>
  <si>
    <t>Ré Per Eau</t>
  </si>
  <si>
    <t>% Résistance Feu</t>
  </si>
  <si>
    <t>Ré Per Feu</t>
  </si>
  <si>
    <t>% Résistance Mêlée</t>
  </si>
  <si>
    <t>Ré Per Mé</t>
  </si>
  <si>
    <t>% Résistance Neutre</t>
  </si>
  <si>
    <t>Ré Per Neutre</t>
  </si>
  <si>
    <t>% Résistance Terre</t>
  </si>
  <si>
    <t>Ré Per Terre</t>
  </si>
  <si>
    <t>Agilité</t>
  </si>
  <si>
    <t>Age</t>
  </si>
  <si>
    <t>Chance</t>
  </si>
  <si>
    <t>Cha</t>
  </si>
  <si>
    <t>Critique</t>
  </si>
  <si>
    <t>Cri</t>
  </si>
  <si>
    <t>Dommage</t>
  </si>
  <si>
    <t>Do</t>
  </si>
  <si>
    <t>Dommage Air</t>
  </si>
  <si>
    <t>Do Air</t>
  </si>
  <si>
    <t>Dommage Critique</t>
  </si>
  <si>
    <t>Do Cri</t>
  </si>
  <si>
    <t>Dommage Eau</t>
  </si>
  <si>
    <t>Do Eau</t>
  </si>
  <si>
    <t>Dommage Feu</t>
  </si>
  <si>
    <t>Do Feu</t>
  </si>
  <si>
    <t>Dommage Neutre</t>
  </si>
  <si>
    <t>Do Neutre</t>
  </si>
  <si>
    <t>Dommage Pièges</t>
  </si>
  <si>
    <t>Do Pi</t>
  </si>
  <si>
    <t>Dommage Poussée</t>
  </si>
  <si>
    <t>Dommage Terre</t>
  </si>
  <si>
    <t>Do Terre</t>
  </si>
  <si>
    <t>Dommages Renvoyés</t>
  </si>
  <si>
    <t>Do Ren</t>
  </si>
  <si>
    <t>Esquive Pa</t>
  </si>
  <si>
    <t>Ré Pa</t>
  </si>
  <si>
    <t>Esquive Pm</t>
  </si>
  <si>
    <t>Ré Pme</t>
  </si>
  <si>
    <t>Force</t>
  </si>
  <si>
    <t>Fo</t>
  </si>
  <si>
    <t>Fuite</t>
  </si>
  <si>
    <t>Fui</t>
  </si>
  <si>
    <t>Initiative</t>
  </si>
  <si>
    <t>Ini</t>
  </si>
  <si>
    <t>Intelligence</t>
  </si>
  <si>
    <t>Ine</t>
  </si>
  <si>
    <t>Invocation</t>
  </si>
  <si>
    <t>Invo</t>
  </si>
  <si>
    <t>PA</t>
  </si>
  <si>
    <t>Ga Pa</t>
  </si>
  <si>
    <t>PM</t>
  </si>
  <si>
    <t>Ga Pme</t>
  </si>
  <si>
    <t>PO</t>
  </si>
  <si>
    <t>Po</t>
  </si>
  <si>
    <t>Pods</t>
  </si>
  <si>
    <t>Pod</t>
  </si>
  <si>
    <t>Prospection</t>
  </si>
  <si>
    <t>Prospe</t>
  </si>
  <si>
    <t>Puissance</t>
  </si>
  <si>
    <t>Pui</t>
  </si>
  <si>
    <t>Puissances Pièges</t>
  </si>
  <si>
    <t>Per Pi</t>
  </si>
  <si>
    <t>Résistance Air</t>
  </si>
  <si>
    <t>Ré Air</t>
  </si>
  <si>
    <t>Résistance Critiques</t>
  </si>
  <si>
    <t>Ré Cri</t>
  </si>
  <si>
    <t>Résistance Feu</t>
  </si>
  <si>
    <t>Ré Feu</t>
  </si>
  <si>
    <t>Résistance Neutre</t>
  </si>
  <si>
    <t>Ré Neutre</t>
  </si>
  <si>
    <t>Résistance Poussée</t>
  </si>
  <si>
    <t>Ré Pou</t>
  </si>
  <si>
    <t>Résistance Terre</t>
  </si>
  <si>
    <t>Ré Terre</t>
  </si>
  <si>
    <t>Retrait Pa</t>
  </si>
  <si>
    <t>Ret Pa</t>
  </si>
  <si>
    <t>Retrait Pm</t>
  </si>
  <si>
    <t>Ret Pme</t>
  </si>
  <si>
    <t>Sagesse</t>
  </si>
  <si>
    <t>Sa</t>
  </si>
  <si>
    <t>Soin</t>
  </si>
  <si>
    <t>So</t>
  </si>
  <si>
    <t>Tacle</t>
  </si>
  <si>
    <t>Tac</t>
  </si>
  <si>
    <t>Vitalité</t>
  </si>
  <si>
    <t>Vi</t>
  </si>
  <si>
    <t>Custom</t>
  </si>
  <si>
    <t>Actuel</t>
  </si>
  <si>
    <t>n+1</t>
  </si>
  <si>
    <t>n+2</t>
  </si>
  <si>
    <t>n+3</t>
  </si>
  <si>
    <t>n+10</t>
  </si>
  <si>
    <t>n+100</t>
  </si>
  <si>
    <t>n+1000</t>
  </si>
  <si>
    <t>Poids ligne</t>
  </si>
  <si>
    <t>Poids focus</t>
  </si>
  <si>
    <t>Baguette de sagesse</t>
  </si>
  <si>
    <t>96%-&gt;83%</t>
  </si>
  <si>
    <t>Rune Tac</t>
  </si>
  <si>
    <t>Baton du Grand Pa Wabbit</t>
  </si>
  <si>
    <t>146%-&gt;128%</t>
  </si>
  <si>
    <t>Rune Cri</t>
  </si>
  <si>
    <t>Baton Tont'ata</t>
  </si>
  <si>
    <t>Baguette Ni'Ninnin</t>
  </si>
  <si>
    <t>Rune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</si>
</sst>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>
    <font>
      <sz val="11"/>
      <color theme="1"/>
      <name val="Calibri"/>
      <family val="2"/>
      <scheme val="minor"/>
    </font>
    <font>
      <sz val="11"/>
      <color rgb="FF000000"/>
      <name val="Consolas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  <xf numFmtId="0" fontId="0" fillId="2" borderId="2" xfId="0" applyFill="1" applyBorder="1"/>
    <xf numFmtId="2" fontId="0" fillId="0" borderId="0" xfId="0" applyNumberFormat="1" applyAlignment="1">
      <alignment wrapText="1"/>
    </xf>
    <xf numFmtId="2" fontId="0" fillId="0" borderId="0" xfId="0" applyNumberFormat="1"/>
    <xf numFmtId="0" fontId="0" fillId="5" borderId="1" xfId="0" applyFill="1" applyBorder="1"/>
    <xf numFmtId="0" fontId="0" fillId="5" borderId="3" xfId="0" applyFill="1" applyBorder="1"/>
    <xf numFmtId="164" fontId="0" fillId="0" borderId="0" xfId="0" applyNumberFormat="1"/>
    <xf numFmtId="0" fontId="0" fillId="2" borderId="3" xfId="0" applyFill="1" applyBorder="1"/>
    <xf numFmtId="1" fontId="0" fillId="0" borderId="0" xfId="0" applyNumberFormat="1"/>
    <xf numFmtId="0" fontId="1" fillId="0" borderId="0" xfId="0" applyFont="1"/>
    <xf numFmtId="0" fontId="0" fillId="6" borderId="5" xfId="0" applyFill="1" applyBorder="1"/>
    <xf numFmtId="0" fontId="0" fillId="6" borderId="5" xfId="0" applyFill="1" applyBorder="1" applyAlignment="1">
      <alignment wrapText="1"/>
    </xf>
    <xf numFmtId="1" fontId="0" fillId="6" borderId="5" xfId="0" applyNumberFormat="1" applyFill="1" applyBorder="1"/>
    <xf numFmtId="0" fontId="0" fillId="6" borderId="6" xfId="0" applyFill="1" applyBorder="1" applyAlignment="1">
      <alignment wrapText="1"/>
    </xf>
    <xf numFmtId="0" fontId="0" fillId="4" borderId="4" xfId="0" applyFill="1" applyBorder="1"/>
    <xf numFmtId="0" fontId="0" fillId="3" borderId="7" xfId="0" applyFill="1" applyBorder="1"/>
    <xf numFmtId="0" fontId="0" fillId="3" borderId="1" xfId="0" applyFill="1" applyBorder="1"/>
    <xf numFmtId="0" fontId="0" fillId="6" borderId="8" xfId="0" applyFill="1" applyBorder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3"/>
  <sheetViews>
    <sheetView topLeftCell="A20" workbookViewId="0">
      <selection activeCell="L32" sqref="L32"/>
    </sheetView>
  </sheetViews>
  <sheetFormatPr defaultRowHeight="15"/>
  <cols>
    <col min="1" max="1" width="20.5703125" customWidth="1"/>
    <col min="2" max="2" width="10.5703125" customWidth="1"/>
    <col min="3" max="3" width="25.140625" customWidth="1"/>
    <col min="4" max="4" width="9.140625" customWidth="1"/>
    <col min="6" max="6" width="20" style="12" customWidth="1"/>
    <col min="7" max="7" width="12.28515625" style="12" customWidth="1"/>
    <col min="8" max="8" width="10.140625" style="12" customWidth="1"/>
    <col min="9" max="9" width="11.85546875" style="19" customWidth="1"/>
    <col min="10" max="10" width="11.140625" style="18" customWidth="1"/>
    <col min="11" max="11" width="16.28515625" customWidth="1"/>
    <col min="12" max="12" width="17.7109375" style="1" customWidth="1"/>
    <col min="13" max="13" width="18" customWidth="1"/>
    <col min="14" max="14" width="16" customWidth="1"/>
    <col min="15" max="15" width="11.5703125" customWidth="1"/>
    <col min="16" max="16" width="11.42578125" customWidth="1"/>
    <col min="17" max="17" width="11" customWidth="1"/>
    <col min="18" max="18" width="11.42578125" customWidth="1"/>
    <col min="20" max="20" width="30.42578125" customWidth="1"/>
    <col min="21" max="21" width="27" customWidth="1"/>
    <col min="22" max="22" width="30.42578125" customWidth="1"/>
    <col min="23" max="23" width="21" customWidth="1"/>
  </cols>
  <sheetData>
    <row r="1" spans="1:40">
      <c r="B1" s="3" t="s">
        <v>0</v>
      </c>
      <c r="C1" s="3" t="s">
        <v>1</v>
      </c>
      <c r="D1" s="6" t="s">
        <v>2</v>
      </c>
      <c r="F1" s="12" t="s">
        <v>3</v>
      </c>
      <c r="G1" s="12" t="s">
        <v>4</v>
      </c>
      <c r="H1" s="12" t="s">
        <v>5</v>
      </c>
      <c r="I1" s="19" t="s">
        <v>6</v>
      </c>
      <c r="J1" s="18" t="s">
        <v>7</v>
      </c>
      <c r="K1" t="s">
        <v>8</v>
      </c>
      <c r="L1" s="1" t="s">
        <v>9</v>
      </c>
      <c r="O1" s="5"/>
      <c r="P1" s="5"/>
      <c r="Q1" s="5"/>
      <c r="R1" s="5"/>
      <c r="S1" s="5"/>
      <c r="W1" s="10"/>
      <c r="X1" s="5"/>
      <c r="Y1" s="5"/>
      <c r="Z1" s="5"/>
      <c r="AA1" s="5"/>
      <c r="AB1" s="5"/>
    </row>
    <row r="2" spans="1:40">
      <c r="B2" s="1">
        <v>79</v>
      </c>
      <c r="C2" s="9">
        <v>11000</v>
      </c>
      <c r="D2" s="7">
        <v>14</v>
      </c>
      <c r="F2" s="12" t="s">
        <v>10</v>
      </c>
      <c r="G2" s="12" t="s">
        <v>11</v>
      </c>
      <c r="H2" s="12">
        <v>15</v>
      </c>
      <c r="I2" s="19">
        <v>1</v>
      </c>
      <c r="J2" s="18">
        <v>27934</v>
      </c>
      <c r="K2" s="8">
        <f>J2/H2</f>
        <v>1862.2666666666667</v>
      </c>
      <c r="M2" s="5"/>
      <c r="N2" s="5"/>
      <c r="O2" s="4"/>
      <c r="P2" s="4"/>
      <c r="Q2" s="4"/>
      <c r="R2" s="4"/>
      <c r="S2" s="4"/>
      <c r="T2" s="5"/>
      <c r="U2" s="5"/>
      <c r="V2" s="11"/>
      <c r="W2" s="4"/>
    </row>
    <row r="3" spans="1:40">
      <c r="F3" s="12" t="s">
        <v>12</v>
      </c>
      <c r="G3" s="12" t="s">
        <v>13</v>
      </c>
      <c r="H3" s="12">
        <v>15</v>
      </c>
      <c r="I3" s="19">
        <v>1</v>
      </c>
      <c r="J3" s="18">
        <v>6321</v>
      </c>
      <c r="K3" s="8">
        <f>J3/H3</f>
        <v>421.4</v>
      </c>
      <c r="M3" s="5"/>
      <c r="N3" s="5"/>
      <c r="O3" s="4"/>
      <c r="P3" s="4"/>
      <c r="Q3" s="4"/>
      <c r="R3" s="4"/>
      <c r="S3" s="4"/>
      <c r="T3" s="5"/>
      <c r="U3" s="5"/>
      <c r="V3" s="11"/>
      <c r="W3" s="4"/>
    </row>
    <row r="4" spans="1:40">
      <c r="A4" s="15"/>
      <c r="F4" s="12" t="s">
        <v>14</v>
      </c>
      <c r="G4" s="12" t="s">
        <v>15</v>
      </c>
      <c r="H4" s="12">
        <v>15</v>
      </c>
      <c r="I4" s="19">
        <v>1</v>
      </c>
      <c r="J4" s="18">
        <v>29031</v>
      </c>
      <c r="K4" s="8">
        <f>J4/H4</f>
        <v>1935.4</v>
      </c>
      <c r="M4" s="5"/>
      <c r="N4" s="5"/>
      <c r="O4" s="4"/>
      <c r="P4" s="4"/>
      <c r="Q4" s="4"/>
      <c r="R4" s="4"/>
      <c r="S4" s="4"/>
      <c r="T4" s="5"/>
      <c r="U4" s="5"/>
      <c r="V4" s="11"/>
      <c r="W4" s="4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>
      <c r="A5" s="17" t="s">
        <v>16</v>
      </c>
      <c r="F5" s="12" t="s">
        <v>17</v>
      </c>
      <c r="G5" s="12" t="s">
        <v>18</v>
      </c>
      <c r="H5" s="12">
        <v>15</v>
      </c>
      <c r="I5" s="19">
        <v>1</v>
      </c>
      <c r="J5" s="18">
        <v>9398</v>
      </c>
      <c r="K5" s="8">
        <f>J5/H5</f>
        <v>626.5333333333333</v>
      </c>
      <c r="M5" s="5"/>
      <c r="N5" s="5"/>
      <c r="O5" s="4"/>
      <c r="P5" s="4"/>
      <c r="Q5" s="4"/>
      <c r="R5" s="4"/>
      <c r="S5" s="4"/>
      <c r="T5" s="5"/>
      <c r="U5" s="5"/>
      <c r="V5" s="5"/>
      <c r="W5" s="4"/>
    </row>
    <row r="6" spans="1:40">
      <c r="A6" s="16" t="s">
        <v>19</v>
      </c>
      <c r="F6" s="12" t="s">
        <v>20</v>
      </c>
      <c r="G6" s="12" t="s">
        <v>21</v>
      </c>
      <c r="H6" s="12">
        <v>6</v>
      </c>
      <c r="I6" s="19">
        <v>1</v>
      </c>
      <c r="J6" s="18">
        <v>1264</v>
      </c>
      <c r="K6" s="8">
        <f>J6/H6</f>
        <v>210.66666666666666</v>
      </c>
      <c r="M6" s="5"/>
      <c r="N6" s="5"/>
      <c r="O6" s="4"/>
      <c r="P6" s="4"/>
      <c r="Q6" s="4"/>
      <c r="R6" s="4"/>
      <c r="S6" s="4"/>
      <c r="T6" s="5"/>
      <c r="U6" s="5"/>
      <c r="V6" s="5"/>
      <c r="W6" s="4"/>
    </row>
    <row r="7" spans="1:40">
      <c r="A7" s="6" t="s">
        <v>22</v>
      </c>
      <c r="F7" s="12" t="s">
        <v>23</v>
      </c>
      <c r="G7" s="12" t="s">
        <v>24</v>
      </c>
      <c r="H7" s="12">
        <v>10</v>
      </c>
      <c r="I7" s="19">
        <v>1</v>
      </c>
      <c r="J7" s="18">
        <v>1898</v>
      </c>
      <c r="K7" s="8">
        <f>J7/H7</f>
        <v>189.8</v>
      </c>
      <c r="M7" s="5"/>
      <c r="N7" s="5"/>
      <c r="O7" s="4"/>
      <c r="P7" s="4"/>
      <c r="Q7" s="4"/>
      <c r="R7" s="4"/>
      <c r="S7" s="4"/>
      <c r="T7" s="5"/>
      <c r="U7" s="5"/>
      <c r="V7" s="5"/>
      <c r="W7" s="4"/>
    </row>
    <row r="8" spans="1:40">
      <c r="F8" s="12" t="s">
        <v>25</v>
      </c>
      <c r="G8" s="12" t="s">
        <v>26</v>
      </c>
      <c r="H8" s="12">
        <v>6</v>
      </c>
      <c r="I8" s="19">
        <v>1</v>
      </c>
      <c r="J8" s="18">
        <v>1514</v>
      </c>
      <c r="K8" s="8">
        <f>J8/H8</f>
        <v>252.33333333333334</v>
      </c>
      <c r="M8" s="5"/>
      <c r="N8" s="5"/>
      <c r="O8" s="4"/>
      <c r="P8" s="4"/>
      <c r="Q8" s="4"/>
      <c r="R8" s="4"/>
      <c r="S8" s="4"/>
      <c r="T8" s="5"/>
      <c r="U8" s="5"/>
      <c r="V8" s="5"/>
      <c r="W8" s="4"/>
    </row>
    <row r="9" spans="1:40">
      <c r="F9" s="12" t="s">
        <v>27</v>
      </c>
      <c r="G9" s="12" t="s">
        <v>28</v>
      </c>
      <c r="H9" s="12">
        <v>6</v>
      </c>
      <c r="I9" s="19">
        <v>1</v>
      </c>
      <c r="J9" s="18">
        <v>1051</v>
      </c>
      <c r="K9" s="8">
        <f>J9/H9</f>
        <v>175.16666666666666</v>
      </c>
      <c r="M9" s="5"/>
      <c r="N9" s="5"/>
      <c r="O9" s="4"/>
      <c r="P9" s="4"/>
      <c r="Q9" s="4"/>
      <c r="R9" s="4"/>
      <c r="S9" s="4"/>
      <c r="T9" s="5"/>
      <c r="U9" s="5"/>
      <c r="V9" s="5"/>
      <c r="W9" s="4"/>
    </row>
    <row r="10" spans="1:40">
      <c r="F10" s="12" t="s">
        <v>29</v>
      </c>
      <c r="G10" s="12" t="s">
        <v>30</v>
      </c>
      <c r="H10" s="12">
        <v>10</v>
      </c>
      <c r="I10" s="19">
        <v>1</v>
      </c>
      <c r="J10" s="18">
        <v>3961</v>
      </c>
      <c r="K10" s="8">
        <f>J10/H10</f>
        <v>396.1</v>
      </c>
      <c r="M10" s="5"/>
      <c r="N10" s="5"/>
      <c r="O10" s="4"/>
      <c r="P10" s="4"/>
      <c r="Q10" s="4"/>
      <c r="R10" s="4"/>
      <c r="S10" s="4"/>
      <c r="T10" s="5"/>
      <c r="U10" s="5"/>
      <c r="V10" s="5"/>
      <c r="W10" s="4"/>
    </row>
    <row r="11" spans="1:40">
      <c r="F11" s="12" t="s">
        <v>31</v>
      </c>
      <c r="G11" s="12" t="s">
        <v>32</v>
      </c>
      <c r="H11" s="12">
        <v>6</v>
      </c>
      <c r="I11" s="19">
        <v>1</v>
      </c>
      <c r="J11" s="18">
        <v>1209</v>
      </c>
      <c r="K11" s="8">
        <f>J11/H11</f>
        <v>201.5</v>
      </c>
      <c r="M11" s="5"/>
      <c r="N11" s="5"/>
      <c r="O11" s="4"/>
      <c r="P11" s="4"/>
      <c r="Q11" s="4"/>
      <c r="R11" s="4"/>
      <c r="S11" s="4"/>
      <c r="T11" s="5"/>
      <c r="U11" s="5"/>
      <c r="V11" s="5"/>
      <c r="W11" s="4"/>
    </row>
    <row r="12" spans="1:40">
      <c r="F12" s="12" t="s">
        <v>33</v>
      </c>
      <c r="G12" s="12" t="s">
        <v>34</v>
      </c>
      <c r="H12" s="12">
        <v>6</v>
      </c>
      <c r="I12" s="19">
        <v>1</v>
      </c>
      <c r="J12" s="18">
        <v>1438</v>
      </c>
      <c r="K12" s="8">
        <f>J12/H12</f>
        <v>239.66666666666666</v>
      </c>
      <c r="M12" s="5"/>
      <c r="N12" s="5"/>
      <c r="O12" s="4"/>
      <c r="P12" s="4"/>
      <c r="Q12" s="4"/>
      <c r="R12" s="4"/>
      <c r="S12" s="4"/>
      <c r="T12" s="5"/>
      <c r="U12" s="5"/>
      <c r="V12" s="5"/>
      <c r="W12" s="4"/>
    </row>
    <row r="13" spans="1:40">
      <c r="F13" s="12" t="s">
        <v>35</v>
      </c>
      <c r="G13" s="12" t="s">
        <v>36</v>
      </c>
      <c r="H13" s="12">
        <v>1</v>
      </c>
      <c r="I13" s="19">
        <v>1</v>
      </c>
      <c r="J13" s="18">
        <v>99</v>
      </c>
      <c r="K13" s="8">
        <f>J13/H13</f>
        <v>99</v>
      </c>
      <c r="M13" s="5"/>
      <c r="N13" s="5"/>
      <c r="O13" s="4"/>
      <c r="P13" s="4"/>
      <c r="Q13" s="4"/>
      <c r="R13" s="4"/>
      <c r="S13" s="4"/>
      <c r="T13" s="5"/>
      <c r="U13" s="5"/>
      <c r="V13" s="5"/>
      <c r="W13" s="4"/>
    </row>
    <row r="14" spans="1:40">
      <c r="F14" s="12" t="s">
        <v>37</v>
      </c>
      <c r="G14" s="12" t="s">
        <v>38</v>
      </c>
      <c r="H14" s="12">
        <v>1</v>
      </c>
      <c r="I14" s="19">
        <v>1</v>
      </c>
      <c r="J14" s="18">
        <v>75</v>
      </c>
      <c r="K14" s="8">
        <f>J14/H14</f>
        <v>75</v>
      </c>
      <c r="L14" s="1">
        <v>30</v>
      </c>
      <c r="M14" s="5"/>
      <c r="N14" s="5"/>
      <c r="O14" s="4"/>
      <c r="P14" s="4"/>
      <c r="Q14" s="4"/>
      <c r="R14" s="4"/>
      <c r="S14" s="4"/>
      <c r="T14" s="5"/>
      <c r="U14" s="5"/>
      <c r="V14" s="5"/>
      <c r="W14" s="4"/>
    </row>
    <row r="15" spans="1:40">
      <c r="F15" s="12" t="s">
        <v>39</v>
      </c>
      <c r="G15" s="12" t="s">
        <v>40</v>
      </c>
      <c r="H15" s="12">
        <v>10</v>
      </c>
      <c r="I15" s="19">
        <v>1</v>
      </c>
      <c r="J15" s="18">
        <v>2335</v>
      </c>
      <c r="K15" s="8">
        <f>J15/H15</f>
        <v>233.5</v>
      </c>
      <c r="M15" s="5"/>
      <c r="N15" s="5"/>
      <c r="O15" s="4"/>
      <c r="P15" s="4"/>
      <c r="Q15" s="4"/>
      <c r="R15" s="4"/>
      <c r="S15" s="4"/>
      <c r="T15" s="5"/>
      <c r="U15" s="5"/>
      <c r="V15" s="5"/>
      <c r="W15" s="4"/>
    </row>
    <row r="16" spans="1:40">
      <c r="F16" s="12" t="s">
        <v>41</v>
      </c>
      <c r="G16" s="12" t="s">
        <v>42</v>
      </c>
      <c r="H16" s="12">
        <v>20</v>
      </c>
      <c r="I16" s="19">
        <v>1</v>
      </c>
      <c r="J16" s="18">
        <v>883</v>
      </c>
      <c r="K16" s="8">
        <f>J16/H16</f>
        <v>44.15</v>
      </c>
      <c r="L16" s="1">
        <v>4.5</v>
      </c>
      <c r="M16" s="5"/>
      <c r="N16" s="5"/>
      <c r="O16" s="4"/>
      <c r="P16" s="4"/>
      <c r="Q16" s="4"/>
      <c r="R16" s="4"/>
      <c r="S16" s="4"/>
      <c r="T16" s="5"/>
      <c r="U16" s="5"/>
      <c r="V16" s="5"/>
      <c r="W16" s="4"/>
    </row>
    <row r="17" spans="6:23">
      <c r="F17" s="12" t="s">
        <v>43</v>
      </c>
      <c r="G17" s="12" t="s">
        <v>44</v>
      </c>
      <c r="H17" s="12">
        <v>5</v>
      </c>
      <c r="I17" s="19">
        <v>1</v>
      </c>
      <c r="J17" s="18">
        <v>1237</v>
      </c>
      <c r="K17" s="8">
        <f>J17/H17</f>
        <v>247.4</v>
      </c>
      <c r="M17" s="5"/>
      <c r="N17" s="5"/>
      <c r="O17" s="4"/>
      <c r="P17" s="4"/>
      <c r="Q17" s="4"/>
      <c r="R17" s="4"/>
      <c r="S17" s="4"/>
      <c r="T17" s="5"/>
      <c r="U17" s="5"/>
      <c r="V17" s="5"/>
      <c r="W17" s="4"/>
    </row>
    <row r="18" spans="6:23">
      <c r="F18" s="12" t="s">
        <v>45</v>
      </c>
      <c r="G18" s="12" t="s">
        <v>46</v>
      </c>
      <c r="H18" s="12">
        <v>5</v>
      </c>
      <c r="I18" s="19">
        <v>1</v>
      </c>
      <c r="J18" s="18">
        <v>1562</v>
      </c>
      <c r="K18" s="8">
        <f>J18/H18</f>
        <v>312.39999999999998</v>
      </c>
      <c r="M18" s="5"/>
      <c r="N18" s="5"/>
      <c r="O18" s="4"/>
      <c r="P18" s="4"/>
      <c r="Q18" s="4"/>
      <c r="R18" s="4"/>
      <c r="S18" s="4"/>
      <c r="T18" s="5"/>
      <c r="U18" s="5"/>
      <c r="V18" s="5"/>
      <c r="W18" s="4"/>
    </row>
    <row r="19" spans="6:23">
      <c r="F19" s="12" t="s">
        <v>47</v>
      </c>
      <c r="G19" s="12" t="s">
        <v>48</v>
      </c>
      <c r="H19" s="12">
        <v>5</v>
      </c>
      <c r="I19" s="19">
        <v>1</v>
      </c>
      <c r="J19" s="18">
        <v>1208</v>
      </c>
      <c r="K19" s="8">
        <f>J19/H19</f>
        <v>241.6</v>
      </c>
      <c r="M19" s="5"/>
      <c r="N19" s="5"/>
      <c r="O19" s="4"/>
      <c r="P19" s="4"/>
      <c r="Q19" s="4"/>
      <c r="R19" s="4"/>
      <c r="S19" s="4"/>
      <c r="T19" s="5"/>
      <c r="U19" s="5"/>
      <c r="V19" s="5"/>
      <c r="W19" s="4"/>
    </row>
    <row r="20" spans="6:23">
      <c r="F20" s="12" t="s">
        <v>49</v>
      </c>
      <c r="G20" s="12" t="s">
        <v>50</v>
      </c>
      <c r="H20" s="12">
        <v>5</v>
      </c>
      <c r="I20" s="19">
        <v>1</v>
      </c>
      <c r="J20" s="18">
        <v>951</v>
      </c>
      <c r="K20" s="8">
        <f>J20/H20</f>
        <v>190.2</v>
      </c>
      <c r="M20" s="5"/>
      <c r="N20" s="5"/>
      <c r="O20" s="4"/>
      <c r="P20" s="4"/>
      <c r="Q20" s="4"/>
      <c r="R20" s="4"/>
      <c r="S20" s="4"/>
      <c r="T20" s="5"/>
      <c r="U20" s="5"/>
      <c r="V20" s="5"/>
      <c r="W20" s="4"/>
    </row>
    <row r="21" spans="6:23">
      <c r="F21" s="12" t="s">
        <v>51</v>
      </c>
      <c r="G21" s="12" t="s">
        <v>52</v>
      </c>
      <c r="H21" s="12">
        <v>5</v>
      </c>
      <c r="I21" s="19">
        <v>1</v>
      </c>
      <c r="J21" s="18">
        <v>1143</v>
      </c>
      <c r="K21" s="8">
        <f>J21/H21</f>
        <v>228.6</v>
      </c>
      <c r="M21" s="5"/>
      <c r="N21" s="5"/>
      <c r="O21" s="4"/>
      <c r="P21" s="4"/>
      <c r="Q21" s="4"/>
      <c r="R21" s="4"/>
      <c r="S21" s="4"/>
      <c r="T21" s="5"/>
      <c r="U21" s="5"/>
      <c r="V21" s="5"/>
      <c r="W21" s="4"/>
    </row>
    <row r="22" spans="6:23">
      <c r="F22" s="12" t="s">
        <v>53</v>
      </c>
      <c r="G22" s="12" t="s">
        <v>54</v>
      </c>
      <c r="H22" s="12">
        <v>5</v>
      </c>
      <c r="I22" s="19">
        <v>1</v>
      </c>
      <c r="J22" s="18">
        <v>315</v>
      </c>
      <c r="K22" s="8">
        <f>J22/H22</f>
        <v>63</v>
      </c>
      <c r="M22" s="5"/>
      <c r="N22" s="5"/>
      <c r="O22" s="4"/>
      <c r="P22" s="4"/>
      <c r="Q22" s="4"/>
      <c r="R22" s="4"/>
      <c r="S22" s="4"/>
      <c r="T22" s="5"/>
      <c r="U22" s="5"/>
      <c r="V22" s="5"/>
      <c r="W22" s="4"/>
    </row>
    <row r="23" spans="6:23">
      <c r="F23" s="12" t="s">
        <v>55</v>
      </c>
      <c r="G23" s="12" t="s">
        <v>54</v>
      </c>
      <c r="H23" s="12">
        <v>5</v>
      </c>
      <c r="I23" s="19">
        <v>1</v>
      </c>
      <c r="J23" s="18">
        <v>244</v>
      </c>
      <c r="K23" s="8">
        <f>J23/H23</f>
        <v>48.8</v>
      </c>
      <c r="M23" s="5"/>
      <c r="N23" s="5"/>
      <c r="O23" s="4"/>
      <c r="P23" s="4"/>
      <c r="Q23" s="4"/>
      <c r="R23" s="4"/>
      <c r="S23" s="4"/>
      <c r="T23" s="5"/>
      <c r="U23" s="5"/>
      <c r="V23" s="5"/>
      <c r="W23" s="4"/>
    </row>
    <row r="24" spans="6:23">
      <c r="F24" s="12" t="s">
        <v>56</v>
      </c>
      <c r="G24" s="12" t="s">
        <v>57</v>
      </c>
      <c r="H24" s="12">
        <v>5</v>
      </c>
      <c r="I24" s="19">
        <v>1</v>
      </c>
      <c r="J24" s="18">
        <v>1188</v>
      </c>
      <c r="K24" s="8">
        <f>J24/H24</f>
        <v>237.6</v>
      </c>
      <c r="M24" s="5"/>
      <c r="N24" s="5"/>
      <c r="O24" s="4"/>
      <c r="P24" s="4"/>
      <c r="Q24" s="4"/>
      <c r="R24" s="4"/>
      <c r="S24" s="4"/>
      <c r="T24" s="5"/>
      <c r="U24" s="5"/>
      <c r="V24" s="5"/>
      <c r="W24" s="4"/>
    </row>
    <row r="25" spans="6:23">
      <c r="F25" s="12" t="s">
        <v>58</v>
      </c>
      <c r="G25" s="12" t="s">
        <v>59</v>
      </c>
      <c r="H25" s="12">
        <v>5</v>
      </c>
      <c r="I25" s="19">
        <v>1</v>
      </c>
      <c r="J25" s="18">
        <v>736</v>
      </c>
      <c r="K25" s="8">
        <f>J25/H25</f>
        <v>147.19999999999999</v>
      </c>
      <c r="M25" s="5"/>
      <c r="N25" s="5"/>
      <c r="O25" s="4"/>
      <c r="P25" s="4"/>
      <c r="Q25" s="4"/>
      <c r="R25" s="4"/>
      <c r="S25" s="4"/>
      <c r="T25" s="5"/>
      <c r="U25" s="5"/>
      <c r="V25" s="5"/>
      <c r="W25" s="4"/>
    </row>
    <row r="26" spans="6:23">
      <c r="F26" s="12" t="s">
        <v>60</v>
      </c>
      <c r="G26" s="12" t="s">
        <v>61</v>
      </c>
      <c r="H26" s="12">
        <v>7</v>
      </c>
      <c r="I26" s="19">
        <v>1</v>
      </c>
      <c r="J26" s="18">
        <v>580</v>
      </c>
      <c r="K26" s="8">
        <f>J26/H26</f>
        <v>82.857142857142861</v>
      </c>
      <c r="M26" s="5"/>
      <c r="N26" s="5"/>
      <c r="O26" s="4"/>
      <c r="P26" s="4"/>
      <c r="Q26" s="4"/>
      <c r="R26" s="4"/>
      <c r="S26" s="4"/>
      <c r="T26" s="5"/>
      <c r="U26" s="5"/>
      <c r="V26" s="5"/>
      <c r="W26" s="4"/>
    </row>
    <row r="27" spans="6:23">
      <c r="F27" s="12" t="s">
        <v>62</v>
      </c>
      <c r="G27" s="12" t="s">
        <v>63</v>
      </c>
      <c r="H27" s="12">
        <v>7</v>
      </c>
      <c r="I27" s="19">
        <v>1</v>
      </c>
      <c r="J27" s="18">
        <v>330</v>
      </c>
      <c r="K27" s="8">
        <f>J27/H27</f>
        <v>47.142857142857146</v>
      </c>
      <c r="M27" s="5"/>
      <c r="N27" s="5"/>
      <c r="O27" s="4"/>
      <c r="P27" s="4"/>
      <c r="Q27" s="4"/>
      <c r="R27" s="4"/>
      <c r="S27" s="4"/>
      <c r="T27" s="5"/>
      <c r="U27" s="5"/>
      <c r="V27" s="5"/>
      <c r="W27" s="4"/>
    </row>
    <row r="28" spans="6:23">
      <c r="F28" s="12" t="s">
        <v>64</v>
      </c>
      <c r="G28" s="12" t="s">
        <v>65</v>
      </c>
      <c r="H28" s="12">
        <v>1</v>
      </c>
      <c r="I28" s="19">
        <v>1</v>
      </c>
      <c r="J28" s="18">
        <v>70</v>
      </c>
      <c r="K28" s="8">
        <f>J28/H28</f>
        <v>70</v>
      </c>
      <c r="M28" s="5"/>
      <c r="N28" s="5"/>
      <c r="O28" s="4"/>
      <c r="P28" s="4"/>
      <c r="Q28" s="4"/>
      <c r="R28" s="4"/>
      <c r="S28" s="4"/>
      <c r="T28" s="5"/>
      <c r="U28" s="5"/>
      <c r="V28" s="5"/>
      <c r="W28" s="4"/>
    </row>
    <row r="29" spans="6:23">
      <c r="F29" s="12" t="s">
        <v>66</v>
      </c>
      <c r="G29" s="12" t="s">
        <v>67</v>
      </c>
      <c r="H29" s="12">
        <v>4</v>
      </c>
      <c r="I29" s="19">
        <v>1</v>
      </c>
      <c r="J29" s="18">
        <v>391</v>
      </c>
      <c r="K29" s="8">
        <f>J29/H29</f>
        <v>97.75</v>
      </c>
      <c r="M29" s="5"/>
      <c r="N29" s="5"/>
      <c r="O29" s="4"/>
      <c r="P29" s="4"/>
      <c r="Q29" s="4"/>
      <c r="R29" s="4"/>
      <c r="S29" s="4"/>
      <c r="T29" s="5"/>
      <c r="U29" s="5"/>
      <c r="V29" s="5"/>
      <c r="W29" s="4"/>
    </row>
    <row r="30" spans="6:23">
      <c r="F30" s="12" t="s">
        <v>68</v>
      </c>
      <c r="G30" s="12" t="s">
        <v>69</v>
      </c>
      <c r="H30" s="12">
        <v>1</v>
      </c>
      <c r="I30" s="19">
        <v>10</v>
      </c>
      <c r="J30" s="18">
        <v>75</v>
      </c>
      <c r="K30" s="8">
        <f>J30/H30</f>
        <v>75</v>
      </c>
      <c r="M30" s="5"/>
      <c r="N30" s="5"/>
      <c r="O30" s="4"/>
      <c r="P30" s="4"/>
      <c r="Q30" s="4"/>
      <c r="R30" s="4"/>
      <c r="S30" s="4"/>
      <c r="T30" s="5"/>
      <c r="U30" s="5"/>
      <c r="V30" s="5"/>
      <c r="W30" s="4"/>
    </row>
    <row r="31" spans="6:23">
      <c r="F31" s="12" t="s">
        <v>70</v>
      </c>
      <c r="G31" s="12" t="s">
        <v>71</v>
      </c>
      <c r="H31" s="12">
        <v>1</v>
      </c>
      <c r="I31" s="19">
        <v>1</v>
      </c>
      <c r="J31" s="18">
        <v>57</v>
      </c>
      <c r="K31" s="8">
        <f>J31/H31</f>
        <v>57</v>
      </c>
      <c r="L31" s="1">
        <v>30</v>
      </c>
      <c r="M31" s="5"/>
      <c r="N31" s="5"/>
      <c r="O31" s="4"/>
      <c r="P31" s="4"/>
      <c r="Q31" s="4"/>
      <c r="R31" s="4"/>
      <c r="S31" s="4"/>
      <c r="T31" s="5"/>
      <c r="U31" s="5"/>
      <c r="V31" s="5"/>
      <c r="W31" s="4"/>
    </row>
    <row r="32" spans="6:23">
      <c r="F32" s="12" t="s">
        <v>72</v>
      </c>
      <c r="G32" s="12" t="s">
        <v>73</v>
      </c>
      <c r="H32" s="12">
        <v>30</v>
      </c>
      <c r="I32" s="19">
        <v>1</v>
      </c>
      <c r="J32" s="18">
        <v>5297</v>
      </c>
      <c r="K32" s="8">
        <f>J32/H32</f>
        <v>176.56666666666666</v>
      </c>
      <c r="M32" s="5"/>
      <c r="N32" s="5"/>
      <c r="O32" s="4"/>
      <c r="P32" s="4"/>
      <c r="Q32" s="4"/>
      <c r="R32" s="4"/>
      <c r="S32" s="4"/>
      <c r="T32" s="5"/>
      <c r="U32" s="5"/>
      <c r="V32" s="5"/>
      <c r="W32" s="4"/>
    </row>
    <row r="33" spans="6:23">
      <c r="F33" s="12" t="s">
        <v>74</v>
      </c>
      <c r="G33" s="12" t="s">
        <v>75</v>
      </c>
      <c r="H33" s="12">
        <v>100</v>
      </c>
      <c r="I33" s="19">
        <v>1</v>
      </c>
      <c r="J33" s="18">
        <v>24815</v>
      </c>
      <c r="K33" s="8">
        <f>J33/H33</f>
        <v>248.15</v>
      </c>
      <c r="L33" s="1">
        <v>1</v>
      </c>
      <c r="M33" s="5"/>
      <c r="N33" s="5"/>
      <c r="O33" s="4"/>
      <c r="P33" s="4"/>
      <c r="Q33" s="4"/>
      <c r="R33" s="4"/>
      <c r="S33" s="4"/>
      <c r="T33" s="5"/>
      <c r="U33" s="5"/>
      <c r="V33" s="5"/>
      <c r="W33" s="4"/>
    </row>
    <row r="34" spans="6:23">
      <c r="F34" s="12" t="s">
        <v>76</v>
      </c>
      <c r="G34" s="12" t="s">
        <v>77</v>
      </c>
      <c r="H34" s="12">
        <v>90</v>
      </c>
      <c r="I34" s="19">
        <v>1</v>
      </c>
      <c r="J34" s="18">
        <v>22929</v>
      </c>
      <c r="K34" s="8">
        <f>J34/H34</f>
        <v>254.76666666666668</v>
      </c>
      <c r="M34" s="5"/>
      <c r="N34" s="5"/>
      <c r="O34" s="4"/>
      <c r="P34" s="4"/>
      <c r="Q34" s="4"/>
      <c r="R34" s="4"/>
      <c r="S34" s="4"/>
      <c r="T34" s="5"/>
      <c r="U34" s="5"/>
      <c r="V34" s="5"/>
      <c r="W34" s="4"/>
    </row>
    <row r="35" spans="6:23">
      <c r="F35" s="12" t="s">
        <v>78</v>
      </c>
      <c r="G35" s="12" t="s">
        <v>79</v>
      </c>
      <c r="H35" s="12">
        <v>51</v>
      </c>
      <c r="I35" s="19">
        <v>1</v>
      </c>
      <c r="J35" s="18">
        <v>9260</v>
      </c>
      <c r="K35" s="8">
        <f>J35/H35</f>
        <v>181.56862745098039</v>
      </c>
      <c r="M35" s="5"/>
      <c r="N35" s="5"/>
      <c r="O35" s="4"/>
      <c r="P35" s="4"/>
      <c r="Q35" s="4"/>
      <c r="R35" s="4"/>
      <c r="S35" s="4"/>
      <c r="T35" s="5"/>
      <c r="U35" s="5"/>
      <c r="V35" s="5"/>
      <c r="W35" s="4"/>
    </row>
    <row r="36" spans="6:23">
      <c r="F36" s="12" t="s">
        <v>80</v>
      </c>
      <c r="G36" s="12" t="s">
        <v>81</v>
      </c>
      <c r="H36" s="12">
        <v>2.5</v>
      </c>
      <c r="I36" s="19">
        <v>10</v>
      </c>
      <c r="J36" s="18">
        <v>152</v>
      </c>
      <c r="K36" s="8">
        <f>J36/H36</f>
        <v>60.8</v>
      </c>
      <c r="M36" s="5"/>
      <c r="N36" s="5"/>
      <c r="O36" s="4"/>
      <c r="P36" s="4"/>
      <c r="Q36" s="4"/>
      <c r="R36" s="4"/>
      <c r="S36" s="4"/>
      <c r="T36" s="5"/>
      <c r="U36" s="5"/>
      <c r="V36" s="5"/>
      <c r="W36" s="4"/>
    </row>
    <row r="37" spans="6:23">
      <c r="F37" s="12" t="s">
        <v>82</v>
      </c>
      <c r="G37" s="12" t="s">
        <v>83</v>
      </c>
      <c r="H37" s="12">
        <v>3</v>
      </c>
      <c r="I37" s="19">
        <v>1</v>
      </c>
      <c r="J37" s="18">
        <v>413</v>
      </c>
      <c r="K37" s="8">
        <f>J37/H37</f>
        <v>137.66666666666666</v>
      </c>
      <c r="M37" s="5"/>
      <c r="N37" s="5"/>
      <c r="O37" s="4"/>
      <c r="P37" s="4"/>
      <c r="Q37" s="4"/>
      <c r="R37" s="4"/>
      <c r="S37" s="4"/>
      <c r="T37" s="5"/>
      <c r="U37" s="5"/>
      <c r="V37" s="5"/>
      <c r="W37" s="4"/>
    </row>
    <row r="38" spans="6:23">
      <c r="F38" s="12" t="s">
        <v>84</v>
      </c>
      <c r="G38" s="12" t="s">
        <v>85</v>
      </c>
      <c r="H38" s="12">
        <v>2</v>
      </c>
      <c r="I38" s="19">
        <v>1</v>
      </c>
      <c r="J38" s="18">
        <v>241</v>
      </c>
      <c r="K38" s="8">
        <f>J38/H38</f>
        <v>120.5</v>
      </c>
      <c r="M38" s="5"/>
      <c r="N38" s="5"/>
      <c r="O38" s="4"/>
      <c r="P38" s="4"/>
      <c r="Q38" s="4"/>
      <c r="R38" s="4"/>
      <c r="S38" s="4"/>
      <c r="T38" s="5"/>
      <c r="U38" s="5"/>
      <c r="V38" s="5"/>
      <c r="W38" s="4"/>
    </row>
    <row r="39" spans="6:23">
      <c r="F39" s="12" t="s">
        <v>86</v>
      </c>
      <c r="G39" s="12" t="s">
        <v>87</v>
      </c>
      <c r="H39" s="12">
        <v>2</v>
      </c>
      <c r="I39" s="19">
        <v>1</v>
      </c>
      <c r="J39" s="18">
        <v>97</v>
      </c>
      <c r="K39" s="8">
        <f>J39/H39</f>
        <v>48.5</v>
      </c>
      <c r="M39" s="5"/>
      <c r="N39" s="5"/>
      <c r="O39" s="4"/>
      <c r="P39" s="4"/>
      <c r="Q39" s="4"/>
      <c r="R39" s="4"/>
      <c r="S39" s="4"/>
      <c r="T39" s="5"/>
      <c r="U39" s="5"/>
      <c r="V39" s="5"/>
      <c r="W39" s="4"/>
    </row>
    <row r="40" spans="6:23">
      <c r="F40" s="12" t="s">
        <v>88</v>
      </c>
      <c r="G40" s="12" t="s">
        <v>89</v>
      </c>
      <c r="H40" s="12">
        <v>2</v>
      </c>
      <c r="I40" s="19">
        <v>1</v>
      </c>
      <c r="J40" s="18">
        <v>328</v>
      </c>
      <c r="K40" s="8">
        <f>J40/H40</f>
        <v>164</v>
      </c>
      <c r="M40" s="5"/>
      <c r="N40" s="5"/>
      <c r="O40" s="4"/>
      <c r="P40" s="4"/>
      <c r="Q40" s="4"/>
      <c r="R40" s="4"/>
      <c r="S40" s="4"/>
      <c r="T40" s="5"/>
      <c r="U40" s="5"/>
      <c r="V40" s="5"/>
      <c r="W40" s="4"/>
    </row>
    <row r="41" spans="6:23">
      <c r="F41" s="12" t="s">
        <v>90</v>
      </c>
      <c r="G41" s="12" t="s">
        <v>91</v>
      </c>
      <c r="H41" s="12">
        <v>2</v>
      </c>
      <c r="I41" s="19">
        <v>1</v>
      </c>
      <c r="J41" s="18">
        <v>334</v>
      </c>
      <c r="K41" s="8">
        <f>J41/H41</f>
        <v>167</v>
      </c>
      <c r="M41" s="5"/>
      <c r="N41" s="5"/>
      <c r="O41" s="4"/>
      <c r="P41" s="4"/>
      <c r="Q41" s="4"/>
      <c r="R41" s="4"/>
      <c r="S41" s="4"/>
      <c r="T41" s="5"/>
      <c r="U41" s="5"/>
      <c r="V41" s="5"/>
      <c r="W41" s="4"/>
    </row>
    <row r="42" spans="6:23">
      <c r="F42" s="12" t="s">
        <v>92</v>
      </c>
      <c r="G42" s="12" t="s">
        <v>93</v>
      </c>
      <c r="H42" s="12">
        <v>2</v>
      </c>
      <c r="I42" s="19">
        <v>1</v>
      </c>
      <c r="J42" s="18">
        <v>184</v>
      </c>
      <c r="K42" s="8">
        <f>J42/H42</f>
        <v>92</v>
      </c>
      <c r="M42" s="5"/>
      <c r="N42" s="5"/>
      <c r="O42" s="4"/>
      <c r="P42" s="4"/>
      <c r="Q42" s="4"/>
      <c r="R42" s="4"/>
      <c r="S42" s="4"/>
      <c r="T42" s="5"/>
      <c r="U42" s="5"/>
      <c r="V42" s="5"/>
      <c r="W42" s="4"/>
    </row>
    <row r="43" spans="6:23">
      <c r="F43" s="12" t="s">
        <v>94</v>
      </c>
      <c r="G43" s="12" t="s">
        <v>95</v>
      </c>
      <c r="H43" s="12">
        <v>2</v>
      </c>
      <c r="I43" s="19">
        <v>1</v>
      </c>
      <c r="J43" s="18">
        <v>95</v>
      </c>
      <c r="K43" s="8">
        <f>J43/H43</f>
        <v>47.5</v>
      </c>
      <c r="M43" s="5"/>
      <c r="N43" s="5"/>
      <c r="O43" s="4"/>
      <c r="P43" s="4"/>
      <c r="Q43" s="4"/>
      <c r="R43" s="4"/>
      <c r="S43" s="4"/>
      <c r="T43" s="5"/>
      <c r="U43" s="5"/>
      <c r="V43" s="5"/>
      <c r="W43" s="4"/>
    </row>
    <row r="44" spans="6:23">
      <c r="F44" s="12" t="s">
        <v>96</v>
      </c>
      <c r="G44" s="12" t="s">
        <v>97</v>
      </c>
      <c r="H44" s="12">
        <v>2</v>
      </c>
      <c r="I44" s="19">
        <v>1</v>
      </c>
      <c r="J44" s="18">
        <v>284</v>
      </c>
      <c r="K44" s="8">
        <f>J44/H44</f>
        <v>142</v>
      </c>
      <c r="M44" s="5"/>
      <c r="N44" s="5"/>
      <c r="O44" s="4"/>
      <c r="P44" s="4"/>
      <c r="Q44" s="4"/>
      <c r="R44" s="4"/>
      <c r="S44" s="4"/>
      <c r="T44" s="5"/>
      <c r="U44" s="5"/>
      <c r="V44" s="5"/>
      <c r="W44" s="4"/>
    </row>
    <row r="45" spans="6:23">
      <c r="F45" s="12" t="s">
        <v>98</v>
      </c>
      <c r="G45" s="12" t="s">
        <v>99</v>
      </c>
      <c r="H45" s="12">
        <v>2</v>
      </c>
      <c r="I45" s="19">
        <v>1</v>
      </c>
      <c r="J45" s="18">
        <v>424</v>
      </c>
      <c r="K45" s="8">
        <f>J45/H45</f>
        <v>212</v>
      </c>
      <c r="M45" s="5"/>
      <c r="N45" s="5"/>
      <c r="O45" s="4"/>
      <c r="P45" s="4"/>
      <c r="Q45" s="4"/>
      <c r="R45" s="4"/>
      <c r="S45" s="4"/>
      <c r="T45" s="5"/>
      <c r="U45" s="5"/>
      <c r="V45" s="5"/>
      <c r="W45" s="4"/>
    </row>
    <row r="46" spans="6:23">
      <c r="F46" s="12" t="s">
        <v>100</v>
      </c>
      <c r="G46" s="12" t="s">
        <v>101</v>
      </c>
      <c r="H46" s="12">
        <v>7</v>
      </c>
      <c r="I46" s="19">
        <v>1</v>
      </c>
      <c r="J46" s="18">
        <v>358</v>
      </c>
      <c r="K46" s="8">
        <f>J46/H46</f>
        <v>51.142857142857146</v>
      </c>
      <c r="M46" s="5"/>
      <c r="N46" s="5"/>
      <c r="O46" s="4"/>
      <c r="P46" s="4"/>
      <c r="Q46" s="4"/>
      <c r="R46" s="4"/>
      <c r="S46" s="4"/>
      <c r="T46" s="5"/>
      <c r="U46" s="5"/>
      <c r="V46" s="5"/>
      <c r="W46" s="4"/>
    </row>
    <row r="47" spans="6:23">
      <c r="F47" s="12" t="s">
        <v>102</v>
      </c>
      <c r="G47" s="12" t="s">
        <v>103</v>
      </c>
      <c r="H47" s="12">
        <v>7</v>
      </c>
      <c r="I47" s="19">
        <v>1</v>
      </c>
      <c r="J47" s="18">
        <v>330</v>
      </c>
      <c r="K47" s="8">
        <f>J47/H47</f>
        <v>47.142857142857146</v>
      </c>
      <c r="M47" s="5"/>
      <c r="N47" s="5"/>
      <c r="O47" s="4"/>
      <c r="P47" s="4"/>
      <c r="Q47" s="4"/>
      <c r="R47" s="4"/>
      <c r="S47" s="4"/>
      <c r="T47" s="5"/>
      <c r="U47" s="5"/>
      <c r="V47" s="5"/>
      <c r="W47" s="4"/>
    </row>
    <row r="48" spans="6:23">
      <c r="F48" s="13" t="s">
        <v>104</v>
      </c>
      <c r="G48" s="12" t="s">
        <v>105</v>
      </c>
      <c r="H48" s="12">
        <v>3</v>
      </c>
      <c r="I48" s="19">
        <v>1</v>
      </c>
      <c r="J48" s="18">
        <v>269</v>
      </c>
      <c r="K48" s="8">
        <f>J48/H48</f>
        <v>89.666666666666671</v>
      </c>
      <c r="M48" s="5"/>
      <c r="N48" s="5"/>
      <c r="O48" s="4"/>
      <c r="P48" s="4"/>
      <c r="Q48" s="4"/>
      <c r="R48" s="4"/>
      <c r="S48" s="4"/>
      <c r="T48" s="5"/>
      <c r="U48" s="5"/>
      <c r="V48" s="5"/>
      <c r="W48" s="4"/>
    </row>
    <row r="49" spans="6:23">
      <c r="F49" s="12" t="s">
        <v>106</v>
      </c>
      <c r="G49" s="12" t="s">
        <v>107</v>
      </c>
      <c r="H49" s="12">
        <v>10</v>
      </c>
      <c r="I49" s="19">
        <v>1</v>
      </c>
      <c r="J49" s="18">
        <v>391</v>
      </c>
      <c r="K49" s="8">
        <f>J49/H49</f>
        <v>39.1</v>
      </c>
      <c r="M49" s="5"/>
      <c r="N49" s="5"/>
      <c r="O49" s="4"/>
      <c r="P49" s="4"/>
      <c r="Q49" s="4"/>
      <c r="R49" s="4"/>
      <c r="S49" s="4"/>
      <c r="T49" s="5"/>
      <c r="U49" s="5"/>
      <c r="V49" s="5"/>
      <c r="W49" s="4"/>
    </row>
    <row r="50" spans="6:23">
      <c r="F50" s="12" t="s">
        <v>108</v>
      </c>
      <c r="G50" s="12" t="s">
        <v>109</v>
      </c>
      <c r="H50" s="12">
        <v>4</v>
      </c>
      <c r="I50" s="19">
        <v>1</v>
      </c>
      <c r="J50" s="18">
        <v>877</v>
      </c>
      <c r="K50" s="8">
        <f>J50/H50</f>
        <v>219.25</v>
      </c>
      <c r="M50" s="5"/>
      <c r="N50" s="5"/>
      <c r="O50" s="4"/>
      <c r="P50" s="4"/>
      <c r="Q50" s="4"/>
      <c r="R50" s="4"/>
      <c r="S50" s="4"/>
      <c r="T50" s="5"/>
      <c r="U50" s="5"/>
      <c r="V50" s="5"/>
      <c r="W50" s="4"/>
    </row>
    <row r="51" spans="6:23">
      <c r="F51" s="12" t="s">
        <v>110</v>
      </c>
      <c r="G51" s="12" t="s">
        <v>111</v>
      </c>
      <c r="H51" s="12">
        <v>1</v>
      </c>
      <c r="I51" s="19">
        <v>5</v>
      </c>
      <c r="J51" s="18">
        <v>183</v>
      </c>
      <c r="K51" s="8">
        <f>J51/H51</f>
        <v>183</v>
      </c>
      <c r="M51" s="5"/>
      <c r="N51" s="5"/>
      <c r="O51" s="4"/>
      <c r="P51" s="4"/>
      <c r="Q51" s="4"/>
      <c r="R51" s="4"/>
      <c r="S51" s="4"/>
      <c r="T51" s="5"/>
      <c r="U51" s="5"/>
      <c r="V51" s="5"/>
      <c r="W51" s="4"/>
    </row>
    <row r="52" spans="6:23">
      <c r="M52" s="5"/>
      <c r="N52" s="5"/>
      <c r="O52" s="4"/>
      <c r="P52" s="4"/>
      <c r="Q52" s="4"/>
      <c r="R52" s="4"/>
      <c r="S52" s="4"/>
      <c r="T52" s="5"/>
      <c r="U52" s="5"/>
      <c r="V52" s="5"/>
      <c r="W52" s="4" t="e">
        <f>IF(#REF!="","",IF(#REF!=0,"",#REF!*100/$C$2))</f>
        <v>#REF!</v>
      </c>
    </row>
    <row r="53" spans="6:23">
      <c r="M53" s="5"/>
      <c r="N53" s="5"/>
      <c r="O53" s="4"/>
      <c r="P53" s="4"/>
      <c r="Q53" s="4"/>
      <c r="R53" s="4"/>
      <c r="S53" s="4"/>
      <c r="T53" s="5"/>
      <c r="U53" s="5"/>
      <c r="V53" s="5"/>
      <c r="W53" s="4" t="e">
        <f>IF(#REF!="","",IF(#REF!=0,"",#REF!*100/$C$2))</f>
        <v>#REF!</v>
      </c>
    </row>
    <row r="54" spans="6:23">
      <c r="M54" s="5"/>
      <c r="N54" s="5"/>
      <c r="O54" s="4"/>
      <c r="P54" s="4"/>
      <c r="Q54" s="4"/>
      <c r="R54" s="4"/>
      <c r="S54" s="4"/>
      <c r="T54" s="5"/>
      <c r="U54" s="5"/>
      <c r="V54" s="5"/>
      <c r="W54" s="4" t="e">
        <f>IF(#REF!="","",IF(#REF!=0,"",#REF!*100/$C$2))</f>
        <v>#REF!</v>
      </c>
    </row>
    <row r="55" spans="6:23">
      <c r="M55" s="5"/>
      <c r="N55" s="5"/>
      <c r="O55" s="4"/>
      <c r="P55" s="4"/>
      <c r="Q55" s="4"/>
      <c r="R55" s="4"/>
      <c r="S55" s="4"/>
      <c r="T55" s="5"/>
      <c r="U55" s="5"/>
      <c r="V55" s="5"/>
      <c r="W55" s="4" t="e">
        <f>IF(#REF!="","",IF(#REF!=0,"",#REF!*100/$C$2))</f>
        <v>#REF!</v>
      </c>
    </row>
    <row r="56" spans="6:23">
      <c r="M56" s="5"/>
      <c r="N56" s="5"/>
      <c r="O56" s="4"/>
      <c r="P56" s="4"/>
      <c r="Q56" s="4"/>
      <c r="R56" s="4"/>
      <c r="S56" s="4"/>
      <c r="T56" s="5"/>
      <c r="U56" s="5"/>
      <c r="V56" s="5"/>
      <c r="W56" s="4" t="e">
        <f>IF(#REF!="","",IF(#REF!=0,"",#REF!*100/$C$2))</f>
        <v>#REF!</v>
      </c>
    </row>
    <row r="57" spans="6:23">
      <c r="M57" s="5"/>
      <c r="N57" s="5"/>
      <c r="O57" s="4"/>
      <c r="P57" s="4"/>
      <c r="Q57" s="4"/>
      <c r="R57" s="4"/>
      <c r="S57" s="4"/>
      <c r="T57" s="5"/>
      <c r="U57" s="5"/>
      <c r="V57" s="5"/>
      <c r="W57" s="4" t="e">
        <f>IF(#REF!="","",IF(#REF!=0,"",#REF!*100/$C$2))</f>
        <v>#REF!</v>
      </c>
    </row>
    <row r="58" spans="6:23">
      <c r="M58" s="5"/>
      <c r="N58" s="5"/>
      <c r="O58" s="4"/>
      <c r="P58" s="4"/>
      <c r="Q58" s="4"/>
      <c r="R58" s="4"/>
      <c r="S58" s="4"/>
      <c r="T58" s="5"/>
      <c r="U58" s="5"/>
      <c r="V58" s="5"/>
      <c r="W58" s="4" t="e">
        <f>IF(#REF!="","",IF(#REF!=0,"",#REF!*100/$C$2))</f>
        <v>#REF!</v>
      </c>
    </row>
    <row r="59" spans="6:23">
      <c r="M59" s="5"/>
      <c r="N59" s="5"/>
      <c r="O59" s="4"/>
      <c r="P59" s="4"/>
      <c r="Q59" s="4"/>
      <c r="R59" s="4"/>
      <c r="S59" s="4"/>
      <c r="T59" s="5"/>
      <c r="U59" s="5"/>
      <c r="V59" s="5"/>
      <c r="W59" s="4" t="e">
        <f>IF(#REF!="","",IF(#REF!=0,"",#REF!*100/$C$2))</f>
        <v>#REF!</v>
      </c>
    </row>
    <row r="60" spans="6:23">
      <c r="M60" s="5"/>
      <c r="N60" s="5"/>
      <c r="O60" s="4"/>
      <c r="P60" s="4"/>
      <c r="Q60" s="4"/>
      <c r="R60" s="4"/>
      <c r="S60" s="4"/>
      <c r="T60" s="5"/>
      <c r="U60" s="5"/>
      <c r="V60" s="5"/>
      <c r="W60" s="4" t="e">
        <f>IF(#REF!="","",IF(#REF!=0,"",#REF!*100/$C$2))</f>
        <v>#REF!</v>
      </c>
    </row>
    <row r="61" spans="6:23">
      <c r="M61" s="5"/>
      <c r="N61" s="5"/>
      <c r="O61" s="4"/>
      <c r="P61" s="4"/>
      <c r="Q61" s="4"/>
      <c r="R61" s="4"/>
      <c r="S61" s="4"/>
      <c r="T61" s="5"/>
      <c r="U61" s="5"/>
      <c r="V61" s="5"/>
      <c r="W61" s="4" t="e">
        <f>IF(#REF!="","",IF(#REF!=0,"",#REF!*100/$C$2))</f>
        <v>#REF!</v>
      </c>
    </row>
    <row r="62" spans="6:23">
      <c r="M62" s="5"/>
      <c r="N62" s="5"/>
      <c r="O62" s="4"/>
      <c r="P62" s="4"/>
      <c r="Q62" s="4"/>
      <c r="R62" s="4"/>
      <c r="S62" s="4"/>
      <c r="T62" s="5"/>
      <c r="U62" s="5"/>
      <c r="V62" s="5"/>
      <c r="W62" s="4" t="e">
        <f>IF(#REF!="","",IF(#REF!=0,"",#REF!*100/$C$2))</f>
        <v>#REF!</v>
      </c>
    </row>
    <row r="63" spans="6:23">
      <c r="M63" s="5"/>
      <c r="N63" s="5"/>
      <c r="O63" s="4"/>
      <c r="P63" s="4"/>
      <c r="Q63" s="4"/>
      <c r="R63" s="4"/>
      <c r="S63" s="4"/>
      <c r="T63" s="5"/>
      <c r="U63" s="5"/>
      <c r="V63" s="5"/>
      <c r="W63" s="4" t="e">
        <f>IF(#REF!="","",IF(#REF!=0,"",#REF!*100/$C$2))</f>
        <v>#REF!</v>
      </c>
    </row>
    <row r="64" spans="6:23">
      <c r="M64" s="5"/>
      <c r="N64" s="5"/>
      <c r="O64" s="4"/>
      <c r="P64" s="4"/>
      <c r="Q64" s="4"/>
      <c r="R64" s="4"/>
      <c r="S64" s="4"/>
      <c r="T64" s="5"/>
      <c r="U64" s="5"/>
      <c r="V64" s="5"/>
      <c r="W64" s="4" t="e">
        <f>IF(#REF!="","",IF(#REF!=0,"",#REF!*100/$C$2))</f>
        <v>#REF!</v>
      </c>
    </row>
    <row r="65" spans="13:23">
      <c r="M65" s="5"/>
      <c r="N65" s="5"/>
      <c r="O65" s="4"/>
      <c r="P65" s="4"/>
      <c r="Q65" s="4"/>
      <c r="R65" s="4"/>
      <c r="S65" s="4"/>
      <c r="T65" s="5"/>
      <c r="U65" s="5"/>
      <c r="V65" s="5"/>
      <c r="W65" s="4" t="e">
        <f>IF(#REF!="","",IF(#REF!=0,"",#REF!*100/$C$2))</f>
        <v>#REF!</v>
      </c>
    </row>
    <row r="66" spans="13:23">
      <c r="M66" s="5"/>
      <c r="N66" s="5"/>
      <c r="O66" s="4"/>
      <c r="P66" s="4"/>
      <c r="Q66" s="4"/>
      <c r="R66" s="4"/>
      <c r="S66" s="4"/>
      <c r="T66" s="5"/>
      <c r="U66" s="5"/>
      <c r="V66" s="5"/>
      <c r="W66" s="4" t="e">
        <f>IF(#REF!="","",IF(#REF!=0,"",#REF!*100/$C$2))</f>
        <v>#REF!</v>
      </c>
    </row>
    <row r="67" spans="13:23">
      <c r="M67" s="5"/>
      <c r="N67" s="5"/>
      <c r="O67" s="4"/>
      <c r="P67" s="4"/>
      <c r="Q67" s="4"/>
      <c r="R67" s="4"/>
      <c r="S67" s="4"/>
      <c r="T67" s="5"/>
      <c r="U67" s="5"/>
      <c r="V67" s="5"/>
      <c r="W67" s="4" t="e">
        <f>IF(#REF!="","",IF(#REF!=0,"",#REF!*100/$C$2))</f>
        <v>#REF!</v>
      </c>
    </row>
    <row r="68" spans="13:23">
      <c r="M68" s="5"/>
      <c r="N68" s="5"/>
      <c r="O68" s="4"/>
      <c r="P68" s="4"/>
      <c r="Q68" s="4"/>
      <c r="R68" s="4"/>
      <c r="S68" s="4"/>
      <c r="T68" s="5"/>
      <c r="U68" s="5"/>
      <c r="V68" s="5"/>
      <c r="W68" s="4" t="e">
        <f>IF(#REF!="","",IF(#REF!=0,"",#REF!*100/$C$2))</f>
        <v>#REF!</v>
      </c>
    </row>
    <row r="69" spans="13:23">
      <c r="M69" s="5"/>
      <c r="N69" s="5"/>
      <c r="O69" s="4"/>
      <c r="P69" s="4"/>
      <c r="Q69" s="4"/>
      <c r="R69" s="4"/>
      <c r="S69" s="4"/>
      <c r="T69" s="5"/>
      <c r="U69" s="5"/>
      <c r="V69" s="5"/>
      <c r="W69" s="4" t="e">
        <f>IF(#REF!="","",IF(#REF!=0,"",#REF!*100/$C$2))</f>
        <v>#REF!</v>
      </c>
    </row>
    <row r="70" spans="13:23">
      <c r="M70" s="5"/>
      <c r="N70" s="5"/>
      <c r="O70" s="4"/>
      <c r="P70" s="4"/>
      <c r="Q70" s="4"/>
      <c r="R70" s="4"/>
      <c r="S70" s="4"/>
      <c r="T70" s="5"/>
      <c r="U70" s="5"/>
      <c r="V70" s="5"/>
      <c r="W70" s="4" t="e">
        <f>IF(#REF!="","",IF(#REF!=0,"",#REF!*100/$C$2))</f>
        <v>#REF!</v>
      </c>
    </row>
    <row r="71" spans="13:23">
      <c r="M71" s="5"/>
      <c r="N71" s="5"/>
      <c r="O71" s="4"/>
      <c r="P71" s="4"/>
      <c r="Q71" s="4"/>
      <c r="R71" s="4"/>
      <c r="S71" s="4"/>
      <c r="T71" s="5"/>
      <c r="U71" s="5"/>
      <c r="V71" s="5"/>
      <c r="W71" s="4" t="e">
        <f>IF(#REF!="","",IF(#REF!=0,"",#REF!*100/$C$2))</f>
        <v>#REF!</v>
      </c>
    </row>
    <row r="72" spans="13:23">
      <c r="M72" s="5"/>
      <c r="N72" s="5"/>
      <c r="O72" s="4"/>
      <c r="P72" s="4"/>
      <c r="Q72" s="4"/>
      <c r="R72" s="4"/>
      <c r="S72" s="4"/>
      <c r="T72" s="5"/>
      <c r="U72" s="5"/>
      <c r="V72" s="5"/>
      <c r="W72" s="4" t="e">
        <f>IF(#REF!="","",IF(#REF!=0,"",#REF!*100/$C$2))</f>
        <v>#REF!</v>
      </c>
    </row>
    <row r="73" spans="13:23">
      <c r="M73" s="5"/>
      <c r="N73" s="5"/>
      <c r="O73" s="4"/>
      <c r="P73" s="4"/>
      <c r="Q73" s="4"/>
      <c r="R73" s="4"/>
      <c r="S73" s="4"/>
      <c r="T73" s="5"/>
      <c r="U73" s="5"/>
      <c r="V73" s="5"/>
      <c r="W73" s="4" t="e">
        <f>IF(#REF!="","",IF(#REF!=0,"",#REF!*100/$C$2))</f>
        <v>#REF!</v>
      </c>
    </row>
    <row r="74" spans="13:23">
      <c r="M74" s="5"/>
      <c r="N74" s="5"/>
      <c r="O74" s="4"/>
      <c r="P74" s="4"/>
      <c r="Q74" s="4"/>
      <c r="R74" s="4"/>
      <c r="S74" s="4"/>
      <c r="T74" s="5"/>
      <c r="U74" s="5"/>
      <c r="V74" s="5"/>
      <c r="W74" s="4" t="e">
        <f>IF(#REF!="","",IF(#REF!=0,"",#REF!*100/$C$2))</f>
        <v>#REF!</v>
      </c>
    </row>
    <row r="75" spans="13:23">
      <c r="M75" s="5"/>
      <c r="N75" s="5"/>
      <c r="O75" s="4"/>
      <c r="P75" s="4"/>
      <c r="Q75" s="4"/>
      <c r="R75" s="4"/>
      <c r="S75" s="4"/>
      <c r="T75" s="5"/>
      <c r="U75" s="5"/>
      <c r="V75" s="5"/>
      <c r="W75" s="4" t="e">
        <f>IF(#REF!="","",IF(#REF!=0,"",#REF!*100/$C$2))</f>
        <v>#REF!</v>
      </c>
    </row>
    <row r="76" spans="13:23">
      <c r="M76" s="5"/>
      <c r="N76" s="5"/>
      <c r="O76" s="4"/>
      <c r="P76" s="4"/>
      <c r="Q76" s="4"/>
      <c r="R76" s="4"/>
      <c r="S76" s="4"/>
      <c r="T76" s="5"/>
      <c r="U76" s="5"/>
      <c r="V76" s="5"/>
      <c r="W76" s="4" t="e">
        <f>IF(#REF!="","",IF(#REF!=0,"",#REF!*100/$C$2))</f>
        <v>#REF!</v>
      </c>
    </row>
    <row r="77" spans="13:23">
      <c r="M77" s="5"/>
      <c r="N77" s="5"/>
      <c r="O77" s="4"/>
      <c r="P77" s="4"/>
      <c r="Q77" s="4"/>
      <c r="R77" s="4"/>
      <c r="S77" s="4"/>
      <c r="T77" s="5"/>
      <c r="U77" s="5"/>
      <c r="V77" s="5"/>
      <c r="W77" s="4" t="e">
        <f>IF(#REF!="","",IF(#REF!=0,"",#REF!*100/$C$2))</f>
        <v>#REF!</v>
      </c>
    </row>
    <row r="78" spans="13:23">
      <c r="M78" s="5"/>
      <c r="N78" s="5"/>
      <c r="O78" s="4"/>
      <c r="P78" s="4"/>
      <c r="Q78" s="4"/>
      <c r="R78" s="4"/>
      <c r="S78" s="4"/>
      <c r="T78" s="5"/>
      <c r="U78" s="5"/>
      <c r="V78" s="5"/>
      <c r="W78" s="4"/>
    </row>
    <row r="79" spans="13:23">
      <c r="M79" s="5"/>
      <c r="N79" s="5"/>
      <c r="O79" s="4"/>
      <c r="P79" s="4"/>
      <c r="Q79" s="4"/>
      <c r="R79" s="4"/>
      <c r="S79" s="4"/>
      <c r="T79" s="5"/>
      <c r="U79" s="5"/>
      <c r="V79" s="5"/>
      <c r="W79" s="4"/>
    </row>
    <row r="80" spans="13:23">
      <c r="M80" s="5"/>
      <c r="N80" s="5"/>
      <c r="O80" s="4"/>
      <c r="P80" s="4"/>
      <c r="Q80" s="4"/>
      <c r="R80" s="4"/>
      <c r="S80" s="4"/>
      <c r="T80" s="5"/>
      <c r="U80" s="5"/>
      <c r="V80" s="5"/>
      <c r="W80" s="4"/>
    </row>
    <row r="81" spans="13:23">
      <c r="M81" s="5"/>
      <c r="N81" s="5"/>
      <c r="O81" s="4"/>
      <c r="P81" s="4"/>
      <c r="Q81" s="4"/>
      <c r="R81" s="4"/>
      <c r="S81" s="4"/>
      <c r="T81" s="5"/>
      <c r="U81" s="5"/>
      <c r="V81" s="5"/>
      <c r="W81" s="4"/>
    </row>
    <row r="82" spans="13:23">
      <c r="M82" s="5"/>
      <c r="N82" s="5"/>
      <c r="O82" s="4"/>
      <c r="P82" s="4"/>
      <c r="Q82" s="4"/>
      <c r="R82" s="4"/>
      <c r="S82" s="4"/>
      <c r="T82" s="5"/>
      <c r="U82" s="5"/>
      <c r="V82" s="5"/>
      <c r="W82" s="4"/>
    </row>
    <row r="83" spans="13:23">
      <c r="M83" s="5"/>
      <c r="N83" s="5"/>
      <c r="O83" s="4"/>
      <c r="P83" s="4"/>
      <c r="Q83" s="4"/>
      <c r="R83" s="4"/>
      <c r="S83" s="4"/>
      <c r="T83" s="5"/>
      <c r="U83" s="5"/>
      <c r="V83" s="5"/>
      <c r="W83" s="4"/>
    </row>
    <row r="84" spans="13:23">
      <c r="M84" s="5"/>
      <c r="N84" s="5"/>
      <c r="O84" s="4"/>
      <c r="P84" s="4"/>
      <c r="Q84" s="4"/>
      <c r="R84" s="4"/>
      <c r="S84" s="4"/>
      <c r="T84" s="5"/>
      <c r="U84" s="5"/>
      <c r="V84" s="5"/>
      <c r="W84" s="4"/>
    </row>
    <row r="85" spans="13:23">
      <c r="M85" s="5"/>
      <c r="N85" s="5"/>
      <c r="O85" s="4"/>
      <c r="P85" s="4"/>
      <c r="Q85" s="4"/>
      <c r="R85" s="4"/>
      <c r="S85" s="4"/>
      <c r="T85" s="5"/>
      <c r="U85" s="5"/>
      <c r="V85" s="5"/>
      <c r="W85" s="4"/>
    </row>
    <row r="86" spans="13:23">
      <c r="M86" s="5"/>
      <c r="N86" s="5"/>
      <c r="O86" s="4"/>
      <c r="P86" s="4"/>
      <c r="Q86" s="4"/>
      <c r="R86" s="4"/>
      <c r="S86" s="4"/>
      <c r="T86" s="5"/>
      <c r="U86" s="5"/>
      <c r="V86" s="5"/>
      <c r="W86" s="4"/>
    </row>
    <row r="87" spans="13:23">
      <c r="M87" s="5"/>
      <c r="N87" s="5"/>
      <c r="O87" s="4"/>
      <c r="P87" s="4"/>
      <c r="Q87" s="4"/>
      <c r="R87" s="4"/>
      <c r="S87" s="4"/>
      <c r="T87" s="5"/>
      <c r="U87" s="5"/>
      <c r="V87" s="5"/>
      <c r="W87" s="4"/>
    </row>
    <row r="88" spans="13:23">
      <c r="M88" s="5"/>
      <c r="N88" s="5"/>
      <c r="O88" s="4"/>
      <c r="P88" s="4"/>
      <c r="Q88" s="4"/>
      <c r="R88" s="4"/>
      <c r="S88" s="4"/>
      <c r="T88" s="5"/>
      <c r="U88" s="5"/>
      <c r="V88" s="5"/>
      <c r="W88" s="4"/>
    </row>
    <row r="89" spans="13:23">
      <c r="M89" s="5"/>
      <c r="N89" s="5"/>
      <c r="O89" s="4"/>
      <c r="P89" s="4"/>
      <c r="Q89" s="4"/>
      <c r="R89" s="4"/>
      <c r="S89" s="4"/>
      <c r="T89" s="5"/>
      <c r="U89" s="5"/>
      <c r="V89" s="5"/>
      <c r="W89" s="4"/>
    </row>
    <row r="90" spans="13:23">
      <c r="M90" s="5"/>
      <c r="N90" s="5"/>
      <c r="O90" s="4"/>
      <c r="P90" s="4"/>
      <c r="Q90" s="4"/>
      <c r="R90" s="4"/>
      <c r="S90" s="4"/>
      <c r="T90" s="5"/>
      <c r="U90" s="5"/>
      <c r="V90" s="5"/>
      <c r="W90" s="4"/>
    </row>
    <row r="91" spans="13:23">
      <c r="M91" s="5"/>
      <c r="N91" s="5"/>
      <c r="O91" s="4"/>
      <c r="P91" s="4"/>
      <c r="Q91" s="4"/>
      <c r="R91" s="4"/>
      <c r="S91" s="4"/>
      <c r="T91" s="5"/>
      <c r="U91" s="5"/>
      <c r="V91" s="5"/>
      <c r="W91" s="4"/>
    </row>
    <row r="92" spans="13:23">
      <c r="M92" s="5"/>
      <c r="N92" s="5"/>
      <c r="O92" s="4"/>
      <c r="P92" s="4"/>
      <c r="Q92" s="4"/>
      <c r="R92" s="4"/>
      <c r="S92" s="4"/>
      <c r="T92" s="5"/>
      <c r="U92" s="5"/>
      <c r="V92" s="5"/>
      <c r="W92" s="4"/>
    </row>
    <row r="93" spans="13:23">
      <c r="M93" s="5"/>
      <c r="N93" s="5"/>
      <c r="O93" s="4"/>
      <c r="P93" s="4"/>
      <c r="Q93" s="4"/>
      <c r="R93" s="4"/>
      <c r="S93" s="4"/>
      <c r="T93" s="5"/>
      <c r="U93" s="5"/>
      <c r="V93" s="5"/>
      <c r="W93" s="4"/>
    </row>
    <row r="94" spans="13:23">
      <c r="M94" s="5"/>
      <c r="N94" s="5"/>
      <c r="O94" s="4"/>
      <c r="P94" s="4"/>
      <c r="Q94" s="4"/>
      <c r="R94" s="4"/>
      <c r="S94" s="4"/>
      <c r="T94" s="5"/>
      <c r="U94" s="5"/>
      <c r="V94" s="5"/>
      <c r="W94" s="4"/>
    </row>
    <row r="95" spans="13:23">
      <c r="M95" s="5"/>
      <c r="N95" s="5"/>
      <c r="O95" s="4"/>
      <c r="P95" s="4"/>
      <c r="Q95" s="4"/>
      <c r="R95" s="4"/>
      <c r="S95" s="4"/>
      <c r="T95" s="5"/>
      <c r="U95" s="5"/>
      <c r="V95" s="5"/>
      <c r="W95" s="4"/>
    </row>
    <row r="96" spans="13:23">
      <c r="M96" s="5"/>
      <c r="N96" s="5"/>
      <c r="O96" s="4"/>
      <c r="P96" s="4"/>
      <c r="Q96" s="4"/>
      <c r="R96" s="4"/>
      <c r="S96" s="4"/>
      <c r="T96" s="5"/>
      <c r="U96" s="5"/>
      <c r="V96" s="5"/>
      <c r="W96" s="4"/>
    </row>
    <row r="97" spans="13:23">
      <c r="M97" s="5"/>
      <c r="N97" s="5"/>
      <c r="O97" s="4"/>
      <c r="P97" s="4"/>
      <c r="Q97" s="4"/>
      <c r="R97" s="4"/>
      <c r="S97" s="4"/>
      <c r="T97" s="5"/>
      <c r="U97" s="5"/>
      <c r="V97" s="5"/>
      <c r="W97" s="4"/>
    </row>
    <row r="98" spans="13:23">
      <c r="M98" s="5"/>
      <c r="N98" s="5"/>
      <c r="O98" s="4"/>
      <c r="P98" s="4"/>
      <c r="Q98" s="4"/>
      <c r="R98" s="4"/>
      <c r="S98" s="4"/>
      <c r="T98" s="5"/>
      <c r="U98" s="5"/>
      <c r="V98" s="5"/>
      <c r="W98" s="4"/>
    </row>
    <row r="99" spans="13:23">
      <c r="M99" s="5"/>
      <c r="N99" s="5"/>
      <c r="O99" s="4"/>
      <c r="P99" s="4"/>
      <c r="Q99" s="4"/>
      <c r="R99" s="4"/>
      <c r="S99" s="4"/>
      <c r="T99" s="5"/>
      <c r="U99" s="5"/>
      <c r="V99" s="5"/>
      <c r="W99" s="4"/>
    </row>
    <row r="100" spans="13:23">
      <c r="M100" s="5"/>
      <c r="N100" s="5"/>
      <c r="O100" s="4"/>
      <c r="P100" s="4"/>
      <c r="Q100" s="4"/>
      <c r="R100" s="4"/>
      <c r="S100" s="4"/>
      <c r="T100" s="5"/>
      <c r="U100" s="5"/>
      <c r="V100" s="5"/>
      <c r="W100" s="4"/>
    </row>
    <row r="101" spans="13:23">
      <c r="M101" s="5"/>
      <c r="N101" s="5"/>
      <c r="O101" s="4"/>
      <c r="P101" s="4"/>
      <c r="Q101" s="4"/>
      <c r="R101" s="4"/>
      <c r="S101" s="4"/>
      <c r="T101" s="5"/>
      <c r="U101" s="5"/>
      <c r="V101" s="5"/>
      <c r="W101" s="4"/>
    </row>
    <row r="102" spans="13:23">
      <c r="M102" s="5"/>
      <c r="N102" s="5"/>
      <c r="O102" s="4"/>
      <c r="P102" s="4"/>
      <c r="Q102" s="4"/>
      <c r="R102" s="4"/>
      <c r="S102" s="4"/>
      <c r="T102" s="5"/>
      <c r="U102" s="5"/>
      <c r="V102" s="5"/>
      <c r="W102" s="4"/>
    </row>
    <row r="103" spans="13:23">
      <c r="M103" s="5"/>
      <c r="N103" s="5"/>
      <c r="O103" s="4"/>
      <c r="P103" s="4"/>
      <c r="Q103" s="4"/>
      <c r="R103" s="4"/>
      <c r="S103" s="4"/>
      <c r="T103" s="5"/>
      <c r="U103" s="5"/>
      <c r="V103" s="5"/>
      <c r="W103" s="4"/>
    </row>
    <row r="104" spans="13:23">
      <c r="M104" s="5"/>
      <c r="N104" s="5"/>
      <c r="O104" s="4"/>
      <c r="P104" s="4"/>
      <c r="Q104" s="4"/>
      <c r="R104" s="4"/>
      <c r="S104" s="4"/>
      <c r="T104" s="5"/>
      <c r="U104" s="5"/>
      <c r="V104" s="5"/>
      <c r="W104" s="4"/>
    </row>
    <row r="105" spans="13:23">
      <c r="M105" s="5"/>
      <c r="N105" s="5"/>
      <c r="O105" s="4"/>
      <c r="P105" s="4"/>
      <c r="Q105" s="4"/>
      <c r="R105" s="4"/>
      <c r="S105" s="4"/>
      <c r="T105" s="5"/>
      <c r="U105" s="5"/>
      <c r="V105" s="5"/>
      <c r="W105" s="4"/>
    </row>
    <row r="106" spans="13:23">
      <c r="M106" s="5"/>
      <c r="N106" s="5"/>
      <c r="O106" s="4"/>
      <c r="P106" s="4"/>
      <c r="Q106" s="4"/>
      <c r="R106" s="4"/>
      <c r="S106" s="4"/>
      <c r="T106" s="5"/>
      <c r="U106" s="5"/>
      <c r="V106" s="5"/>
      <c r="W106" s="4"/>
    </row>
    <row r="107" spans="13:23">
      <c r="M107" s="5"/>
      <c r="N107" s="5"/>
      <c r="O107" s="4"/>
      <c r="P107" s="4"/>
      <c r="Q107" s="4"/>
      <c r="R107" s="4"/>
      <c r="S107" s="4"/>
      <c r="T107" s="5"/>
      <c r="U107" s="5"/>
      <c r="V107" s="5"/>
      <c r="W107" s="4"/>
    </row>
    <row r="108" spans="13:23">
      <c r="M108" s="5"/>
      <c r="N108" s="5"/>
      <c r="O108" s="4"/>
      <c r="P108" s="4"/>
      <c r="Q108" s="4"/>
      <c r="R108" s="4"/>
      <c r="S108" s="4"/>
      <c r="T108" s="5"/>
      <c r="U108" s="5"/>
      <c r="V108" s="5"/>
      <c r="W108" s="4"/>
    </row>
    <row r="109" spans="13:23">
      <c r="M109" s="5"/>
      <c r="N109" s="5"/>
      <c r="O109" s="4"/>
      <c r="P109" s="4"/>
      <c r="Q109" s="4"/>
      <c r="R109" s="4"/>
      <c r="S109" s="4"/>
      <c r="T109" s="5"/>
      <c r="U109" s="5"/>
      <c r="V109" s="5"/>
      <c r="W109" s="4"/>
    </row>
    <row r="110" spans="13:23">
      <c r="M110" s="5"/>
      <c r="N110" s="5"/>
      <c r="O110" s="4"/>
      <c r="P110" s="4"/>
      <c r="Q110" s="4"/>
      <c r="R110" s="4"/>
      <c r="S110" s="4"/>
      <c r="T110" s="5"/>
      <c r="U110" s="5"/>
      <c r="V110" s="5"/>
      <c r="W110" s="4"/>
    </row>
    <row r="111" spans="13:23">
      <c r="M111" s="5"/>
      <c r="N111" s="5"/>
      <c r="O111" s="4"/>
      <c r="P111" s="4"/>
      <c r="Q111" s="4"/>
      <c r="R111" s="4"/>
      <c r="S111" s="4"/>
      <c r="T111" s="5"/>
      <c r="U111" s="5"/>
      <c r="V111" s="5"/>
      <c r="W111" s="4"/>
    </row>
    <row r="112" spans="13:23">
      <c r="M112" s="5"/>
      <c r="N112" s="5"/>
      <c r="O112" s="4"/>
      <c r="P112" s="4"/>
      <c r="Q112" s="4"/>
      <c r="R112" s="4"/>
      <c r="S112" s="4"/>
      <c r="T112" s="5"/>
      <c r="U112" s="5"/>
      <c r="V112" s="5"/>
      <c r="W112" s="4"/>
    </row>
    <row r="113" spans="13:23">
      <c r="M113" s="5"/>
      <c r="N113" s="5"/>
      <c r="O113" s="4"/>
      <c r="P113" s="4"/>
      <c r="Q113" s="4"/>
      <c r="R113" s="4"/>
      <c r="S113" s="4"/>
      <c r="T113" s="5"/>
      <c r="U113" s="5"/>
      <c r="V113" s="5"/>
      <c r="W113" s="4"/>
    </row>
    <row r="114" spans="13:23">
      <c r="M114" s="5"/>
      <c r="N114" s="5"/>
      <c r="O114" s="4"/>
      <c r="P114" s="4"/>
      <c r="Q114" s="4"/>
      <c r="R114" s="4"/>
      <c r="S114" s="4"/>
      <c r="T114" s="5"/>
      <c r="U114" s="5"/>
      <c r="V114" s="5"/>
      <c r="W114" s="4"/>
    </row>
    <row r="115" spans="13:23">
      <c r="M115" s="5"/>
      <c r="N115" s="5"/>
      <c r="O115" s="4"/>
      <c r="P115" s="4"/>
      <c r="Q115" s="4"/>
      <c r="R115" s="4"/>
      <c r="S115" s="4"/>
      <c r="T115" s="5"/>
      <c r="U115" s="5"/>
      <c r="V115" s="5"/>
      <c r="W115" s="4"/>
    </row>
    <row r="116" spans="13:23">
      <c r="M116" s="5"/>
      <c r="N116" s="5"/>
      <c r="O116" s="4"/>
      <c r="P116" s="4"/>
      <c r="Q116" s="4"/>
      <c r="R116" s="4"/>
      <c r="S116" s="4"/>
      <c r="T116" s="5"/>
      <c r="U116" s="5"/>
      <c r="V116" s="5"/>
      <c r="W116" s="4"/>
    </row>
    <row r="117" spans="13:23">
      <c r="M117" s="5"/>
      <c r="N117" s="5"/>
      <c r="O117" s="4"/>
      <c r="P117" s="4"/>
      <c r="Q117" s="4"/>
      <c r="R117" s="4"/>
      <c r="S117" s="4"/>
      <c r="T117" s="5"/>
      <c r="U117" s="5"/>
      <c r="V117" s="5"/>
      <c r="W117" s="4"/>
    </row>
    <row r="118" spans="13:23">
      <c r="M118" s="5"/>
      <c r="N118" s="5"/>
      <c r="O118" s="4"/>
      <c r="P118" s="4"/>
      <c r="Q118" s="4"/>
      <c r="R118" s="4"/>
      <c r="S118" s="4"/>
      <c r="T118" s="5"/>
      <c r="U118" s="5"/>
      <c r="V118" s="5"/>
      <c r="W118" s="4"/>
    </row>
    <row r="119" spans="13:23">
      <c r="M119" s="5"/>
      <c r="N119" s="5"/>
      <c r="O119" s="4"/>
      <c r="P119" s="4"/>
      <c r="Q119" s="4"/>
      <c r="R119" s="4"/>
      <c r="S119" s="4"/>
      <c r="T119" s="5"/>
      <c r="U119" s="5"/>
      <c r="V119" s="5"/>
      <c r="W119" s="4"/>
    </row>
    <row r="120" spans="13:23">
      <c r="M120" s="5"/>
      <c r="N120" s="5"/>
      <c r="O120" s="4"/>
      <c r="P120" s="4"/>
      <c r="Q120" s="4"/>
      <c r="R120" s="4"/>
      <c r="S120" s="4"/>
      <c r="T120" s="5"/>
      <c r="U120" s="5"/>
      <c r="V120" s="5"/>
      <c r="W120" s="4"/>
    </row>
    <row r="121" spans="13:23">
      <c r="M121" s="5"/>
      <c r="N121" s="5"/>
      <c r="O121" s="4"/>
      <c r="P121" s="4"/>
      <c r="Q121" s="4"/>
      <c r="R121" s="4"/>
      <c r="S121" s="4"/>
      <c r="T121" s="5"/>
      <c r="U121" s="5"/>
      <c r="V121" s="5"/>
      <c r="W121" s="4"/>
    </row>
    <row r="122" spans="13:23">
      <c r="M122" s="5"/>
      <c r="N122" s="5"/>
      <c r="O122" s="4"/>
      <c r="P122" s="4"/>
      <c r="Q122" s="4"/>
      <c r="R122" s="4"/>
      <c r="S122" s="4"/>
      <c r="T122" s="5"/>
      <c r="U122" s="5"/>
      <c r="V122" s="5"/>
      <c r="W122" s="4"/>
    </row>
    <row r="123" spans="13:23">
      <c r="M123" s="5"/>
      <c r="N123" s="5"/>
      <c r="O123" s="4"/>
      <c r="P123" s="4"/>
      <c r="Q123" s="4"/>
      <c r="R123" s="4"/>
      <c r="S123" s="4"/>
      <c r="T123" s="5"/>
      <c r="U123" s="5"/>
      <c r="V123" s="5"/>
      <c r="W123" s="4"/>
    </row>
    <row r="124" spans="13:23">
      <c r="M124" s="5"/>
      <c r="N124" s="5"/>
      <c r="O124" s="4"/>
      <c r="P124" s="4"/>
      <c r="Q124" s="4"/>
      <c r="R124" s="4"/>
      <c r="S124" s="4"/>
      <c r="T124" s="5"/>
      <c r="U124" s="5"/>
      <c r="V124" s="5"/>
      <c r="W124" s="4"/>
    </row>
    <row r="125" spans="13:23">
      <c r="M125" s="5"/>
      <c r="N125" s="5"/>
      <c r="O125" s="4"/>
      <c r="P125" s="4"/>
      <c r="Q125" s="4"/>
      <c r="R125" s="4"/>
      <c r="S125" s="4"/>
      <c r="T125" s="5"/>
      <c r="U125" s="5"/>
      <c r="V125" s="5"/>
      <c r="W125" s="4"/>
    </row>
    <row r="126" spans="13:23">
      <c r="M126" s="5"/>
      <c r="N126" s="5"/>
      <c r="O126" s="4"/>
      <c r="P126" s="4"/>
      <c r="Q126" s="4"/>
      <c r="R126" s="4"/>
      <c r="S126" s="4"/>
      <c r="T126" s="5"/>
      <c r="U126" s="5"/>
      <c r="V126" s="5"/>
      <c r="W126" s="4"/>
    </row>
    <row r="127" spans="13:23">
      <c r="M127" s="5"/>
      <c r="N127" s="5"/>
      <c r="O127" s="4"/>
      <c r="P127" s="4"/>
      <c r="Q127" s="4"/>
      <c r="R127" s="4"/>
      <c r="S127" s="4"/>
      <c r="T127" s="5"/>
      <c r="U127" s="5"/>
      <c r="V127" s="5"/>
      <c r="W127" s="4"/>
    </row>
    <row r="128" spans="13:23">
      <c r="M128" s="5"/>
      <c r="N128" s="5"/>
      <c r="O128" s="4"/>
      <c r="P128" s="4"/>
      <c r="Q128" s="4"/>
      <c r="R128" s="4"/>
      <c r="S128" s="4"/>
      <c r="T128" s="5"/>
      <c r="U128" s="5"/>
      <c r="V128" s="5"/>
      <c r="W128" s="4"/>
    </row>
    <row r="129" spans="13:23">
      <c r="M129" s="5"/>
      <c r="N129" s="5"/>
      <c r="O129" s="4"/>
      <c r="P129" s="4"/>
      <c r="Q129" s="4"/>
      <c r="R129" s="4"/>
      <c r="S129" s="4"/>
      <c r="T129" s="5"/>
      <c r="U129" s="5"/>
      <c r="V129" s="5"/>
      <c r="W129" s="4"/>
    </row>
    <row r="130" spans="13:23">
      <c r="M130" s="5"/>
      <c r="N130" s="5"/>
      <c r="O130" s="4"/>
      <c r="P130" s="4"/>
      <c r="Q130" s="4"/>
      <c r="R130" s="4"/>
      <c r="S130" s="4"/>
      <c r="T130" s="5"/>
      <c r="U130" s="5"/>
      <c r="V130" s="5"/>
      <c r="W130" s="4"/>
    </row>
    <row r="131" spans="13:23">
      <c r="M131" s="5"/>
      <c r="N131" s="5"/>
      <c r="O131" s="4"/>
      <c r="P131" s="4"/>
      <c r="Q131" s="4"/>
      <c r="R131" s="4"/>
      <c r="S131" s="4"/>
      <c r="T131" s="5"/>
      <c r="U131" s="5"/>
      <c r="V131" s="5"/>
      <c r="W131" s="4"/>
    </row>
    <row r="132" spans="13:23">
      <c r="M132" s="5"/>
      <c r="N132" s="5"/>
      <c r="O132" s="4"/>
      <c r="P132" s="4"/>
      <c r="Q132" s="4"/>
      <c r="R132" s="4"/>
      <c r="S132" s="4"/>
      <c r="T132" s="5"/>
      <c r="U132" s="5"/>
      <c r="V132" s="5"/>
      <c r="W132" s="4"/>
    </row>
    <row r="133" spans="13:23">
      <c r="M133" s="5"/>
      <c r="N133" s="5"/>
      <c r="O133" s="4"/>
      <c r="P133" s="4"/>
      <c r="Q133" s="4"/>
      <c r="R133" s="4"/>
      <c r="S133" s="4"/>
      <c r="T133" s="5"/>
      <c r="U133" s="5"/>
      <c r="V133" s="5"/>
      <c r="W133" s="4"/>
    </row>
    <row r="134" spans="13:23">
      <c r="M134" s="5"/>
      <c r="N134" s="5"/>
      <c r="O134" s="4"/>
      <c r="P134" s="4"/>
      <c r="Q134" s="4"/>
      <c r="R134" s="4"/>
      <c r="S134" s="4"/>
      <c r="T134" s="5"/>
      <c r="U134" s="5"/>
      <c r="V134" s="5"/>
      <c r="W134" s="4"/>
    </row>
    <row r="135" spans="13:23">
      <c r="M135" s="5"/>
      <c r="N135" s="5"/>
      <c r="O135" s="4"/>
      <c r="P135" s="4"/>
      <c r="Q135" s="4"/>
      <c r="R135" s="4"/>
      <c r="S135" s="4"/>
      <c r="T135" s="5"/>
      <c r="U135" s="5"/>
      <c r="V135" s="5"/>
      <c r="W135" s="4"/>
    </row>
    <row r="136" spans="13:23">
      <c r="M136" s="5"/>
      <c r="N136" s="5"/>
      <c r="O136" s="4"/>
      <c r="P136" s="4"/>
      <c r="Q136" s="4"/>
      <c r="R136" s="4"/>
      <c r="S136" s="4"/>
      <c r="T136" s="5"/>
      <c r="U136" s="5"/>
      <c r="V136" s="5"/>
      <c r="W136" s="4"/>
    </row>
    <row r="137" spans="13:23">
      <c r="M137" s="5"/>
      <c r="N137" s="5"/>
      <c r="O137" s="4"/>
      <c r="P137" s="4"/>
      <c r="Q137" s="4"/>
      <c r="R137" s="4"/>
      <c r="S137" s="4"/>
      <c r="T137" s="5"/>
      <c r="U137" s="5"/>
      <c r="V137" s="5"/>
      <c r="W137" s="4"/>
    </row>
    <row r="138" spans="13:23">
      <c r="M138" s="5"/>
      <c r="N138" s="5"/>
      <c r="O138" s="4"/>
      <c r="P138" s="4"/>
      <c r="Q138" s="4"/>
      <c r="R138" s="4"/>
      <c r="S138" s="4"/>
      <c r="T138" s="5"/>
      <c r="U138" s="5"/>
      <c r="V138" s="5"/>
      <c r="W138" s="4"/>
    </row>
    <row r="139" spans="13:23">
      <c r="M139" s="5"/>
      <c r="N139" s="5"/>
      <c r="O139" s="4"/>
      <c r="P139" s="4"/>
      <c r="Q139" s="4"/>
      <c r="R139" s="4"/>
      <c r="S139" s="4"/>
      <c r="T139" s="5"/>
      <c r="U139" s="5"/>
      <c r="V139" s="5"/>
      <c r="W139" s="4"/>
    </row>
    <row r="140" spans="13:23">
      <c r="M140" s="5"/>
      <c r="N140" s="5"/>
      <c r="O140" s="4"/>
      <c r="P140" s="4"/>
      <c r="Q140" s="4"/>
      <c r="R140" s="4"/>
      <c r="S140" s="4"/>
      <c r="T140" s="5"/>
      <c r="U140" s="5"/>
      <c r="V140" s="5"/>
      <c r="W140" s="4"/>
    </row>
    <row r="141" spans="13:23">
      <c r="M141" s="5"/>
      <c r="N141" s="5"/>
      <c r="O141" s="4"/>
      <c r="P141" s="4"/>
      <c r="Q141" s="4"/>
      <c r="R141" s="4"/>
      <c r="S141" s="4"/>
      <c r="T141" s="5"/>
      <c r="U141" s="5"/>
      <c r="V141" s="5"/>
      <c r="W141" s="4"/>
    </row>
    <row r="142" spans="13:23">
      <c r="M142" s="5"/>
      <c r="N142" s="5"/>
      <c r="O142" s="4"/>
      <c r="P142" s="4"/>
      <c r="Q142" s="4"/>
      <c r="R142" s="4"/>
      <c r="S142" s="4"/>
      <c r="T142" s="5"/>
      <c r="U142" s="5"/>
      <c r="V142" s="5"/>
      <c r="W142" s="4"/>
    </row>
    <row r="143" spans="13:23">
      <c r="M143" s="5"/>
      <c r="N143" s="5"/>
      <c r="O143" s="4"/>
      <c r="P143" s="4"/>
      <c r="Q143" s="4"/>
      <c r="R143" s="4"/>
      <c r="S143" s="4"/>
      <c r="T143" s="5"/>
      <c r="U143" s="5"/>
      <c r="V143" s="5"/>
      <c r="W143" s="4"/>
    </row>
  </sheetData>
  <sortState xmlns:xlrd2="http://schemas.microsoft.com/office/spreadsheetml/2017/richdata2" ref="F2:L51">
    <sortCondition ref="F2:F51"/>
  </sortState>
  <conditionalFormatting sqref="M2:M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1048576 N2:N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4:O100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44:P100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44:Q100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44:R100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4:S100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0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0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0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0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0A0D-B13B-452B-8C6D-4FE59420FAC3}">
  <dimension ref="A1:I2"/>
  <sheetViews>
    <sheetView workbookViewId="0">
      <selection activeCell="I2" sqref="I2"/>
    </sheetView>
  </sheetViews>
  <sheetFormatPr defaultRowHeight="15"/>
  <sheetData>
    <row r="1" spans="1:9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>
        <v>100</v>
      </c>
    </row>
    <row r="2" spans="1:9">
      <c r="A2">
        <v>100</v>
      </c>
      <c r="B2">
        <f>Feuil1!D2</f>
        <v>14</v>
      </c>
      <c r="C2">
        <f>-(2.63*POWER(10,-5)-5.958*POWER(10,-10)*B2)*POWER(B2,2)+B2</f>
        <v>13.994846834875201</v>
      </c>
      <c r="D2">
        <f t="shared" ref="D2:G2" si="0">-(2.63*POWER(10,-5)-5.958*POWER(10,-10)*C2)*POWER(C2,2)+C2</f>
        <v>13.989697462038153</v>
      </c>
      <c r="E2">
        <f t="shared" si="0"/>
        <v>13.98455187730413</v>
      </c>
      <c r="F2" cm="1">
        <f t="array" ref="F2">_xlfn.REDUCE($B$2,_xlfn.SEQUENCE(10),_xlfn.LAMBDA(_xlpm.x,_xlpm.i,-(0.0000263-0.0000000005958*_xlpm.x)*_xlpm.x^2+_xlpm.x))</f>
        <v>13.948638500823066</v>
      </c>
      <c r="G2" cm="1">
        <f t="array" ref="G2">_xlfn.REDUCE($B$2,_xlfn.SEQUENCE(100),_xlfn.LAMBDA(_xlpm.x,_xlpm.i,-(0.0000263-0.0000000005958*_xlpm.x)*_xlpm.x^2+_xlpm.x))</f>
        <v>13.50280195291397</v>
      </c>
      <c r="H2" cm="1">
        <f t="array" ref="H2">_xlfn.REDUCE($B$2,_xlfn.SEQUENCE(1000),_xlfn.LAMBDA(_xlpm.x,_xlpm.i,-(0.0000263-0.0000000005958*_xlpm.x)*_xlpm.x^2+_xlpm.x))</f>
        <v>10.232302665256309</v>
      </c>
      <c r="I2" cm="1">
        <f t="array" ref="I2">_xlfn.REDUCE($B$2,_xlfn.SEQUENCE(I1),_xlfn.LAMBDA(_xlpm.x,_xlpm.i,-(0.0000263-0.0000000005958*_xlpm.x)*_xlpm.x^2+_xlpm.x))</f>
        <v>13.50280195291397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7F89-2818-43B9-8667-9F7235F2ABB3}">
  <dimension ref="A1:R51"/>
  <sheetViews>
    <sheetView workbookViewId="0">
      <selection activeCell="A15" sqref="A15:J15"/>
    </sheetView>
  </sheetViews>
  <sheetFormatPr defaultRowHeight="15"/>
  <cols>
    <col min="1" max="1" width="21.7109375" bestFit="1" customWidth="1"/>
    <col min="2" max="2" width="13.42578125" bestFit="1" customWidth="1"/>
    <col min="3" max="3" width="10.85546875" bestFit="1" customWidth="1"/>
    <col min="4" max="4" width="12.5703125" bestFit="1" customWidth="1"/>
    <col min="5" max="5" width="9.42578125" bestFit="1" customWidth="1"/>
    <col min="6" max="6" width="16.42578125" bestFit="1" customWidth="1"/>
    <col min="7" max="7" width="15.7109375" bestFit="1" customWidth="1"/>
    <col min="8" max="8" width="10.5703125" bestFit="1" customWidth="1"/>
    <col min="9" max="9" width="11" bestFit="1" customWidth="1"/>
    <col min="10" max="10" width="29.85546875" bestFit="1" customWidth="1"/>
    <col min="11" max="11" width="28.5703125" bestFit="1" customWidth="1"/>
    <col min="12" max="17" width="31.42578125" bestFit="1" customWidth="1"/>
  </cols>
  <sheetData>
    <row r="1" spans="1:18">
      <c r="A1" s="12" t="s">
        <v>3</v>
      </c>
      <c r="B1" s="12" t="s">
        <v>4</v>
      </c>
      <c r="C1" s="12" t="s">
        <v>5</v>
      </c>
      <c r="D1" s="12" t="s">
        <v>6</v>
      </c>
      <c r="E1" s="12" t="s">
        <v>7</v>
      </c>
      <c r="F1" t="s">
        <v>8</v>
      </c>
      <c r="G1" s="12" t="s">
        <v>9</v>
      </c>
      <c r="H1" t="s">
        <v>120</v>
      </c>
      <c r="I1" t="s">
        <v>121</v>
      </c>
      <c r="J1" t="str">
        <f>"Nombre de rune obtenu a " &amp; TEXT(Coeff!A2,"0,00") &amp; "%"</f>
        <v>Nombre de rune obtenu a 100,00%</v>
      </c>
      <c r="K1" t="str">
        <f>"Nombre de rune obtenu a " &amp; TEXT(Coeff!B2,"0,00") &amp; "%"</f>
        <v>Nombre de rune obtenu a 14,00%</v>
      </c>
      <c r="L1" t="str">
        <f>"Nombre de rune obtenu a " &amp; TEXT(Coeff!C2,"0,00") &amp; "%"</f>
        <v>Nombre de rune obtenu a 13,99%</v>
      </c>
      <c r="M1" t="str">
        <f>"Nombre de rune obtenu a " &amp; TEXT(Coeff!D2,"0,00") &amp; "%"</f>
        <v>Nombre de rune obtenu a 13,99%</v>
      </c>
      <c r="N1" t="str">
        <f>"Nombre de rune obtenu a " &amp; TEXT(Coeff!E2,"0,00") &amp; "%"</f>
        <v>Nombre de rune obtenu a 13,98%</v>
      </c>
      <c r="O1" t="str">
        <f>"Nombre de rune obtenu a " &amp; TEXT(Coeff!F2,"0,00") &amp; "%"</f>
        <v>Nombre de rune obtenu a 13,95%</v>
      </c>
      <c r="P1" t="str">
        <f>"Nombre de rune obtenu a " &amp; TEXT(Coeff!G2,"0,00") &amp; "%"</f>
        <v>Nombre de rune obtenu a 13,50%</v>
      </c>
      <c r="Q1" t="str">
        <f>"Nombre de rune obtenu a " &amp; TEXT(Coeff!H2,"0,00") &amp; "%"</f>
        <v>Nombre de rune obtenu a 10,23%</v>
      </c>
      <c r="R1" t="str">
        <f>"Nombre de rune obtenu a " &amp; TEXT(Coeff!I2,"0,00") &amp; "%"</f>
        <v>Nombre de rune obtenu a 13,50%</v>
      </c>
    </row>
    <row r="2" spans="1:18">
      <c r="A2" s="12" t="s">
        <v>10</v>
      </c>
      <c r="B2" s="12" t="s">
        <v>11</v>
      </c>
      <c r="C2" s="12">
        <v>15</v>
      </c>
      <c r="D2" s="12">
        <v>1</v>
      </c>
      <c r="E2" s="14">
        <f>Feuil1!J2</f>
        <v>27934</v>
      </c>
      <c r="F2" s="8">
        <f>E2/C2</f>
        <v>1862.2666666666667</v>
      </c>
      <c r="G2" s="12">
        <f>Feuil1!L2</f>
        <v>0</v>
      </c>
      <c r="H2" t="str">
        <f>IF(OR(G2="",G2=0,C2="",C2=0,D2="",D2=0),"",3*G2*C2/D2*Feuil1!$B$2/200+1)</f>
        <v/>
      </c>
      <c r="I2" t="str">
        <f>IF(H2="","",IF(H2=0,"",H2+(SUM($H$2:$H$1004))/2-H2/2))</f>
        <v/>
      </c>
      <c r="J2" s="5" t="str">
        <f>IF(H2="","",IF(H2=0,0,$I2/$C2*Coeff!A$2/100))</f>
        <v/>
      </c>
      <c r="K2" s="5" t="str">
        <f>IF(I2="","",IF(I2=0,0,$I2/$C2*Coeff!B$2/100))</f>
        <v/>
      </c>
      <c r="L2" s="5" t="str">
        <f>IF(J2="","",IF(J2=0,0,$I2/$C2*Coeff!C$2/100))</f>
        <v/>
      </c>
      <c r="M2" s="5" t="str">
        <f>IF(K2="","",IF(K2=0,0,$I2/$C2*Coeff!D$2/100))</f>
        <v/>
      </c>
      <c r="N2" s="5" t="str">
        <f>IF(L2="","",IF(L2=0,0,$I2/$C2*Coeff!E$2/100))</f>
        <v/>
      </c>
      <c r="O2" s="5" t="str">
        <f>IF(M2="","",IF(M2=0,0,$I2/$C2*Coeff!F$2/100))</f>
        <v/>
      </c>
      <c r="P2" s="5" t="str">
        <f>IF(N2="","",IF(N2=0,0,$I2/$C2*Coeff!G$2/100))</f>
        <v/>
      </c>
      <c r="Q2" s="5" t="str">
        <f>IF(O2="","",IF(O2=0,0,$I2/$C2*Coeff!H$2/100))</f>
        <v/>
      </c>
      <c r="R2" s="5" t="str">
        <f>IF(P2="","",IF(P2=0,0,$I2/$C2*Coeff!I$2/100))</f>
        <v/>
      </c>
    </row>
    <row r="3" spans="1:18">
      <c r="A3" s="12" t="s">
        <v>12</v>
      </c>
      <c r="B3" s="12" t="s">
        <v>13</v>
      </c>
      <c r="C3" s="12">
        <v>15</v>
      </c>
      <c r="D3" s="12">
        <v>1</v>
      </c>
      <c r="E3" s="14">
        <f>Feuil1!J3</f>
        <v>6321</v>
      </c>
      <c r="F3" s="8">
        <f>E3/C3</f>
        <v>421.4</v>
      </c>
      <c r="G3" s="12">
        <f>Feuil1!L3</f>
        <v>0</v>
      </c>
      <c r="H3" t="str">
        <f>IF(OR(G3="",G3=0,C3="",C3=0,D3="",D3=0),"",3*G3*C3/D3*Feuil1!$B$2/200+1)</f>
        <v/>
      </c>
      <c r="I3" t="str">
        <f t="shared" ref="I3:I51" si="0">IF(H3="","",IF(H3=0,"",H3+(SUM($H$2:$H$1004))/2-H3/2))</f>
        <v/>
      </c>
      <c r="J3" s="5" t="str">
        <f>IF(H3="","",IF(H3=0,0,$I3/$C3*Coeff!A$2/100))</f>
        <v/>
      </c>
      <c r="K3" s="5" t="str">
        <f>IF(I3="","",IF(I3=0,0,$I3/$C3*Coeff!B$2/100))</f>
        <v/>
      </c>
      <c r="L3" s="5" t="str">
        <f>IF(J3="","",IF(J3=0,0,$I3/$C3*Coeff!C$2/100))</f>
        <v/>
      </c>
      <c r="M3" s="5" t="str">
        <f>IF(K3="","",IF(K3=0,0,$I3/$C3*Coeff!D$2/100))</f>
        <v/>
      </c>
      <c r="N3" s="5" t="str">
        <f>IF(L3="","",IF(L3=0,0,$I3/$C3*Coeff!E$2/100))</f>
        <v/>
      </c>
      <c r="O3" s="5" t="str">
        <f>IF(M3="","",IF(M3=0,0,$I3/$C3*Coeff!F$2/100))</f>
        <v/>
      </c>
      <c r="P3" s="5" t="str">
        <f>IF(N3="","",IF(N3=0,0,$I3/$C3*Coeff!G$2/100))</f>
        <v/>
      </c>
      <c r="Q3" s="5" t="str">
        <f>IF(O3="","",IF(O3=0,0,$I3/$C3*Coeff!H$2/100))</f>
        <v/>
      </c>
      <c r="R3" s="5" t="str">
        <f>IF(P3="","",IF(P3=0,0,$I3/$C3*Coeff!I$2/100))</f>
        <v/>
      </c>
    </row>
    <row r="4" spans="1:18">
      <c r="A4" s="12" t="s">
        <v>14</v>
      </c>
      <c r="B4" s="12" t="s">
        <v>15</v>
      </c>
      <c r="C4" s="12">
        <v>15</v>
      </c>
      <c r="D4" s="12">
        <v>1</v>
      </c>
      <c r="E4" s="14">
        <f>Feuil1!J4</f>
        <v>29031</v>
      </c>
      <c r="F4" s="8">
        <f>E4/C4</f>
        <v>1935.4</v>
      </c>
      <c r="G4" s="12">
        <f>Feuil1!L4</f>
        <v>0</v>
      </c>
      <c r="H4" t="str">
        <f>IF(OR(G4="",G4=0,C4="",C4=0,D4="",D4=0),"",3*G4*C4/D4*Feuil1!$B$2/200+1)</f>
        <v/>
      </c>
      <c r="I4" t="str">
        <f t="shared" si="0"/>
        <v/>
      </c>
      <c r="J4" s="5" t="str">
        <f>IF(H4="","",IF(H4=0,0,$I4/$C4*Coeff!A$2/100))</f>
        <v/>
      </c>
      <c r="K4" s="5" t="str">
        <f>IF(I4="","",IF(I4=0,0,$I4/$C4*Coeff!B$2/100))</f>
        <v/>
      </c>
      <c r="L4" s="5" t="str">
        <f>IF(J4="","",IF(J4=0,0,$I4/$C4*Coeff!C$2/100))</f>
        <v/>
      </c>
      <c r="M4" s="5" t="str">
        <f>IF(K4="","",IF(K4=0,0,$I4/$C4*Coeff!D$2/100))</f>
        <v/>
      </c>
      <c r="N4" s="5" t="str">
        <f>IF(L4="","",IF(L4=0,0,$I4/$C4*Coeff!E$2/100))</f>
        <v/>
      </c>
      <c r="O4" s="5" t="str">
        <f>IF(M4="","",IF(M4=0,0,$I4/$C4*Coeff!F$2/100))</f>
        <v/>
      </c>
      <c r="P4" s="5" t="str">
        <f>IF(N4="","",IF(N4=0,0,$I4/$C4*Coeff!G$2/100))</f>
        <v/>
      </c>
      <c r="Q4" s="5" t="str">
        <f>IF(O4="","",IF(O4=0,0,$I4/$C4*Coeff!H$2/100))</f>
        <v/>
      </c>
      <c r="R4" s="5" t="str">
        <f>IF(P4="","",IF(P4=0,0,$I4/$C4*Coeff!I$2/100))</f>
        <v/>
      </c>
    </row>
    <row r="5" spans="1:18">
      <c r="A5" s="12" t="s">
        <v>17</v>
      </c>
      <c r="B5" s="12" t="s">
        <v>18</v>
      </c>
      <c r="C5" s="12">
        <v>15</v>
      </c>
      <c r="D5" s="12">
        <v>1</v>
      </c>
      <c r="E5" s="14">
        <f>Feuil1!J5</f>
        <v>9398</v>
      </c>
      <c r="F5" s="8">
        <f>E5/C5</f>
        <v>626.5333333333333</v>
      </c>
      <c r="G5" s="12">
        <f>Feuil1!L5</f>
        <v>0</v>
      </c>
      <c r="H5" t="str">
        <f>IF(OR(G5="",G5=0,C5="",C5=0,D5="",D5=0),"",3*G5*C5/D5*Feuil1!$B$2/200+1)</f>
        <v/>
      </c>
      <c r="I5" t="str">
        <f t="shared" si="0"/>
        <v/>
      </c>
      <c r="J5" s="5" t="str">
        <f>IF(H5="","",IF(H5=0,0,$I5/$C5*Coeff!A$2/100))</f>
        <v/>
      </c>
      <c r="K5" s="5" t="str">
        <f>IF(I5="","",IF(I5=0,0,$I5/$C5*Coeff!B$2/100))</f>
        <v/>
      </c>
      <c r="L5" s="5" t="str">
        <f>IF(J5="","",IF(J5=0,0,$I5/$C5*Coeff!C$2/100))</f>
        <v/>
      </c>
      <c r="M5" s="5" t="str">
        <f>IF(K5="","",IF(K5=0,0,$I5/$C5*Coeff!D$2/100))</f>
        <v/>
      </c>
      <c r="N5" s="5" t="str">
        <f>IF(L5="","",IF(L5=0,0,$I5/$C5*Coeff!E$2/100))</f>
        <v/>
      </c>
      <c r="O5" s="5" t="str">
        <f>IF(M5="","",IF(M5=0,0,$I5/$C5*Coeff!F$2/100))</f>
        <v/>
      </c>
      <c r="P5" s="5" t="str">
        <f>IF(N5="","",IF(N5=0,0,$I5/$C5*Coeff!G$2/100))</f>
        <v/>
      </c>
      <c r="Q5" s="5" t="str">
        <f>IF(O5="","",IF(O5=0,0,$I5/$C5*Coeff!H$2/100))</f>
        <v/>
      </c>
      <c r="R5" s="5" t="str">
        <f>IF(P5="","",IF(P5=0,0,$I5/$C5*Coeff!I$2/100))</f>
        <v/>
      </c>
    </row>
    <row r="6" spans="1:18">
      <c r="A6" s="12" t="s">
        <v>20</v>
      </c>
      <c r="B6" s="12" t="s">
        <v>21</v>
      </c>
      <c r="C6" s="12">
        <v>6</v>
      </c>
      <c r="D6" s="12">
        <v>1</v>
      </c>
      <c r="E6" s="14">
        <f>Feuil1!J6</f>
        <v>1264</v>
      </c>
      <c r="F6" s="8">
        <f>E6/C6</f>
        <v>210.66666666666666</v>
      </c>
      <c r="G6" s="12">
        <f>Feuil1!L6</f>
        <v>0</v>
      </c>
      <c r="H6" t="str">
        <f>IF(OR(G6="",G6=0,C6="",C6=0,D6="",D6=0),"",3*G6*C6/D6*Feuil1!$B$2/200+1)</f>
        <v/>
      </c>
      <c r="I6" t="str">
        <f t="shared" si="0"/>
        <v/>
      </c>
      <c r="J6" s="5" t="str">
        <f>IF(H6="","",IF(H6=0,0,$I6/$C6*Coeff!A$2/100))</f>
        <v/>
      </c>
      <c r="K6" s="5" t="str">
        <f>IF(I6="","",IF(I6=0,0,$I6/$C6*Coeff!B$2/100))</f>
        <v/>
      </c>
      <c r="L6" s="5" t="str">
        <f>IF(J6="","",IF(J6=0,0,$I6/$C6*Coeff!C$2/100))</f>
        <v/>
      </c>
      <c r="M6" s="5" t="str">
        <f>IF(K6="","",IF(K6=0,0,$I6/$C6*Coeff!D$2/100))</f>
        <v/>
      </c>
      <c r="N6" s="5" t="str">
        <f>IF(L6="","",IF(L6=0,0,$I6/$C6*Coeff!E$2/100))</f>
        <v/>
      </c>
      <c r="O6" s="5" t="str">
        <f>IF(M6="","",IF(M6=0,0,$I6/$C6*Coeff!F$2/100))</f>
        <v/>
      </c>
      <c r="P6" s="5" t="str">
        <f>IF(N6="","",IF(N6=0,0,$I6/$C6*Coeff!G$2/100))</f>
        <v/>
      </c>
      <c r="Q6" s="5" t="str">
        <f>IF(O6="","",IF(O6=0,0,$I6/$C6*Coeff!H$2/100))</f>
        <v/>
      </c>
      <c r="R6" s="5" t="str">
        <f>IF(P6="","",IF(P6=0,0,$I6/$C6*Coeff!I$2/100))</f>
        <v/>
      </c>
    </row>
    <row r="7" spans="1:18">
      <c r="A7" s="12" t="s">
        <v>23</v>
      </c>
      <c r="B7" s="12" t="s">
        <v>24</v>
      </c>
      <c r="C7" s="12">
        <v>10</v>
      </c>
      <c r="D7" s="12">
        <v>1</v>
      </c>
      <c r="E7" s="14">
        <f>Feuil1!J7</f>
        <v>1898</v>
      </c>
      <c r="F7" s="8">
        <f>E7/C7</f>
        <v>189.8</v>
      </c>
      <c r="G7" s="12">
        <f>Feuil1!L7</f>
        <v>0</v>
      </c>
      <c r="H7" t="str">
        <f>IF(OR(G7="",G7=0,C7="",C7=0,D7="",D7=0),"",3*G7*C7/D7*Feuil1!$B$2/200+1)</f>
        <v/>
      </c>
      <c r="I7" t="str">
        <f t="shared" si="0"/>
        <v/>
      </c>
      <c r="J7" s="5" t="str">
        <f>IF(H7="","",IF(H7=0,0,$I7/$C7*Coeff!A$2/100))</f>
        <v/>
      </c>
      <c r="K7" s="5" t="str">
        <f>IF(I7="","",IF(I7=0,0,$I7/$C7*Coeff!B$2/100))</f>
        <v/>
      </c>
      <c r="L7" s="5" t="str">
        <f>IF(J7="","",IF(J7=0,0,$I7/$C7*Coeff!C$2/100))</f>
        <v/>
      </c>
      <c r="M7" s="5" t="str">
        <f>IF(K7="","",IF(K7=0,0,$I7/$C7*Coeff!D$2/100))</f>
        <v/>
      </c>
      <c r="N7" s="5" t="str">
        <f>IF(L7="","",IF(L7=0,0,$I7/$C7*Coeff!E$2/100))</f>
        <v/>
      </c>
      <c r="O7" s="5" t="str">
        <f>IF(M7="","",IF(M7=0,0,$I7/$C7*Coeff!F$2/100))</f>
        <v/>
      </c>
      <c r="P7" s="5" t="str">
        <f>IF(N7="","",IF(N7=0,0,$I7/$C7*Coeff!G$2/100))</f>
        <v/>
      </c>
      <c r="Q7" s="5" t="str">
        <f>IF(O7="","",IF(O7=0,0,$I7/$C7*Coeff!H$2/100))</f>
        <v/>
      </c>
      <c r="R7" s="5" t="str">
        <f>IF(P7="","",IF(P7=0,0,$I7/$C7*Coeff!I$2/100))</f>
        <v/>
      </c>
    </row>
    <row r="8" spans="1:18">
      <c r="A8" s="12" t="s">
        <v>25</v>
      </c>
      <c r="B8" s="12" t="s">
        <v>26</v>
      </c>
      <c r="C8" s="12">
        <v>6</v>
      </c>
      <c r="D8" s="12">
        <v>1</v>
      </c>
      <c r="E8" s="14">
        <f>Feuil1!J8</f>
        <v>1514</v>
      </c>
      <c r="F8" s="8">
        <f>E8/C8</f>
        <v>252.33333333333334</v>
      </c>
      <c r="G8" s="12">
        <f>Feuil1!L8</f>
        <v>0</v>
      </c>
      <c r="H8" t="str">
        <f>IF(OR(G8="",G8=0,C8="",C8=0,D8="",D8=0),"",3*G8*C8/D8*Feuil1!$B$2/200+1)</f>
        <v/>
      </c>
      <c r="I8" t="str">
        <f t="shared" si="0"/>
        <v/>
      </c>
      <c r="J8" s="5" t="str">
        <f>IF(H8="","",IF(H8=0,0,$I8/$C8*Coeff!A$2/100))</f>
        <v/>
      </c>
      <c r="K8" s="5" t="str">
        <f>IF(I8="","",IF(I8=0,0,$I8/$C8*Coeff!B$2/100))</f>
        <v/>
      </c>
      <c r="L8" s="5" t="str">
        <f>IF(J8="","",IF(J8=0,0,$I8/$C8*Coeff!C$2/100))</f>
        <v/>
      </c>
      <c r="M8" s="5" t="str">
        <f>IF(K8="","",IF(K8=0,0,$I8/$C8*Coeff!D$2/100))</f>
        <v/>
      </c>
      <c r="N8" s="5" t="str">
        <f>IF(L8="","",IF(L8=0,0,$I8/$C8*Coeff!E$2/100))</f>
        <v/>
      </c>
      <c r="O8" s="5" t="str">
        <f>IF(M8="","",IF(M8=0,0,$I8/$C8*Coeff!F$2/100))</f>
        <v/>
      </c>
      <c r="P8" s="5" t="str">
        <f>IF(N8="","",IF(N8=0,0,$I8/$C8*Coeff!G$2/100))</f>
        <v/>
      </c>
      <c r="Q8" s="5" t="str">
        <f>IF(O8="","",IF(O8=0,0,$I8/$C8*Coeff!H$2/100))</f>
        <v/>
      </c>
      <c r="R8" s="5" t="str">
        <f>IF(P8="","",IF(P8=0,0,$I8/$C8*Coeff!I$2/100))</f>
        <v/>
      </c>
    </row>
    <row r="9" spans="1:18">
      <c r="A9" s="12" t="s">
        <v>27</v>
      </c>
      <c r="B9" s="12" t="s">
        <v>28</v>
      </c>
      <c r="C9" s="12">
        <v>6</v>
      </c>
      <c r="D9" s="12">
        <v>1</v>
      </c>
      <c r="E9" s="14">
        <f>Feuil1!J9</f>
        <v>1051</v>
      </c>
      <c r="F9" s="8">
        <f>E9/C9</f>
        <v>175.16666666666666</v>
      </c>
      <c r="G9" s="12">
        <f>Feuil1!L9</f>
        <v>0</v>
      </c>
      <c r="H9" t="str">
        <f>IF(OR(G9="",G9=0,C9="",C9=0,D9="",D9=0),"",3*G9*C9/D9*Feuil1!$B$2/200+1)</f>
        <v/>
      </c>
      <c r="I9" t="str">
        <f t="shared" si="0"/>
        <v/>
      </c>
      <c r="J9" s="5" t="str">
        <f>IF(H9="","",IF(H9=0,0,$I9/$C9*Coeff!A$2/100))</f>
        <v/>
      </c>
      <c r="K9" s="5" t="str">
        <f>IF(I9="","",IF(I9=0,0,$I9/$C9*Coeff!B$2/100))</f>
        <v/>
      </c>
      <c r="L9" s="5" t="str">
        <f>IF(J9="","",IF(J9=0,0,$I9/$C9*Coeff!C$2/100))</f>
        <v/>
      </c>
      <c r="M9" s="5" t="str">
        <f>IF(K9="","",IF(K9=0,0,$I9/$C9*Coeff!D$2/100))</f>
        <v/>
      </c>
      <c r="N9" s="5" t="str">
        <f>IF(L9="","",IF(L9=0,0,$I9/$C9*Coeff!E$2/100))</f>
        <v/>
      </c>
      <c r="O9" s="5" t="str">
        <f>IF(M9="","",IF(M9=0,0,$I9/$C9*Coeff!F$2/100))</f>
        <v/>
      </c>
      <c r="P9" s="5" t="str">
        <f>IF(N9="","",IF(N9=0,0,$I9/$C9*Coeff!G$2/100))</f>
        <v/>
      </c>
      <c r="Q9" s="5" t="str">
        <f>IF(O9="","",IF(O9=0,0,$I9/$C9*Coeff!H$2/100))</f>
        <v/>
      </c>
      <c r="R9" s="5" t="str">
        <f>IF(P9="","",IF(P9=0,0,$I9/$C9*Coeff!I$2/100))</f>
        <v/>
      </c>
    </row>
    <row r="10" spans="1:18">
      <c r="A10" s="12" t="s">
        <v>29</v>
      </c>
      <c r="B10" s="12" t="s">
        <v>30</v>
      </c>
      <c r="C10" s="12">
        <v>10</v>
      </c>
      <c r="D10" s="12">
        <v>1</v>
      </c>
      <c r="E10" s="14">
        <f>Feuil1!J10</f>
        <v>3961</v>
      </c>
      <c r="F10" s="8">
        <f>E10/C10</f>
        <v>396.1</v>
      </c>
      <c r="G10" s="12">
        <f>Feuil1!L10</f>
        <v>0</v>
      </c>
      <c r="H10" t="str">
        <f>IF(OR(G10="",G10=0,C10="",C10=0,D10="",D10=0),"",3*G10*C10/D10*Feuil1!$B$2/200+1)</f>
        <v/>
      </c>
      <c r="I10" t="str">
        <f t="shared" si="0"/>
        <v/>
      </c>
      <c r="J10" s="5" t="str">
        <f>IF(H10="","",IF(H10=0,0,$I10/$C10*Coeff!A$2/100))</f>
        <v/>
      </c>
      <c r="K10" s="5" t="str">
        <f>IF(I10="","",IF(I10=0,0,$I10/$C10*Coeff!B$2/100))</f>
        <v/>
      </c>
      <c r="L10" s="5" t="str">
        <f>IF(J10="","",IF(J10=0,0,$I10/$C10*Coeff!C$2/100))</f>
        <v/>
      </c>
      <c r="M10" s="5" t="str">
        <f>IF(K10="","",IF(K10=0,0,$I10/$C10*Coeff!D$2/100))</f>
        <v/>
      </c>
      <c r="N10" s="5" t="str">
        <f>IF(L10="","",IF(L10=0,0,$I10/$C10*Coeff!E$2/100))</f>
        <v/>
      </c>
      <c r="O10" s="5" t="str">
        <f>IF(M10="","",IF(M10=0,0,$I10/$C10*Coeff!F$2/100))</f>
        <v/>
      </c>
      <c r="P10" s="5" t="str">
        <f>IF(N10="","",IF(N10=0,0,$I10/$C10*Coeff!G$2/100))</f>
        <v/>
      </c>
      <c r="Q10" s="5" t="str">
        <f>IF(O10="","",IF(O10=0,0,$I10/$C10*Coeff!H$2/100))</f>
        <v/>
      </c>
      <c r="R10" s="5" t="str">
        <f>IF(P10="","",IF(P10=0,0,$I10/$C10*Coeff!I$2/100))</f>
        <v/>
      </c>
    </row>
    <row r="11" spans="1:18">
      <c r="A11" s="12" t="s">
        <v>31</v>
      </c>
      <c r="B11" s="12" t="s">
        <v>32</v>
      </c>
      <c r="C11" s="12">
        <v>6</v>
      </c>
      <c r="D11" s="12">
        <v>1</v>
      </c>
      <c r="E11" s="14">
        <f>Feuil1!J11</f>
        <v>1209</v>
      </c>
      <c r="F11" s="8">
        <f>E11/C11</f>
        <v>201.5</v>
      </c>
      <c r="G11" s="12">
        <f>Feuil1!L11</f>
        <v>0</v>
      </c>
      <c r="H11" t="str">
        <f>IF(OR(G11="",G11=0,C11="",C11=0,D11="",D11=0),"",3*G11*C11/D11*Feuil1!$B$2/200+1)</f>
        <v/>
      </c>
      <c r="I11" t="str">
        <f t="shared" si="0"/>
        <v/>
      </c>
      <c r="J11" s="5" t="str">
        <f>IF(H11="","",IF(H11=0,0,$I11/$C11*Coeff!A$2/100))</f>
        <v/>
      </c>
      <c r="K11" s="5" t="str">
        <f>IF(I11="","",IF(I11=0,0,$I11/$C11*Coeff!B$2/100))</f>
        <v/>
      </c>
      <c r="L11" s="5" t="str">
        <f>IF(J11="","",IF(J11=0,0,$I11/$C11*Coeff!C$2/100))</f>
        <v/>
      </c>
      <c r="M11" s="5" t="str">
        <f>IF(K11="","",IF(K11=0,0,$I11/$C11*Coeff!D$2/100))</f>
        <v/>
      </c>
      <c r="N11" s="5" t="str">
        <f>IF(L11="","",IF(L11=0,0,$I11/$C11*Coeff!E$2/100))</f>
        <v/>
      </c>
      <c r="O11" s="5" t="str">
        <f>IF(M11="","",IF(M11=0,0,$I11/$C11*Coeff!F$2/100))</f>
        <v/>
      </c>
      <c r="P11" s="5" t="str">
        <f>IF(N11="","",IF(N11=0,0,$I11/$C11*Coeff!G$2/100))</f>
        <v/>
      </c>
      <c r="Q11" s="5" t="str">
        <f>IF(O11="","",IF(O11=0,0,$I11/$C11*Coeff!H$2/100))</f>
        <v/>
      </c>
      <c r="R11" s="5" t="str">
        <f>IF(P11="","",IF(P11=0,0,$I11/$C11*Coeff!I$2/100))</f>
        <v/>
      </c>
    </row>
    <row r="12" spans="1:18">
      <c r="A12" s="12" t="s">
        <v>33</v>
      </c>
      <c r="B12" s="12" t="s">
        <v>34</v>
      </c>
      <c r="C12" s="12">
        <v>6</v>
      </c>
      <c r="D12" s="12">
        <v>1</v>
      </c>
      <c r="E12" s="14">
        <f>Feuil1!J12</f>
        <v>1438</v>
      </c>
      <c r="F12" s="8">
        <f>E12/C12</f>
        <v>239.66666666666666</v>
      </c>
      <c r="G12" s="12">
        <f>Feuil1!L12</f>
        <v>0</v>
      </c>
      <c r="H12" t="str">
        <f>IF(OR(G12="",G12=0,C12="",C12=0,D12="",D12=0),"",3*G12*C12/D12*Feuil1!$B$2/200+1)</f>
        <v/>
      </c>
      <c r="I12" t="str">
        <f t="shared" si="0"/>
        <v/>
      </c>
      <c r="J12" s="5" t="str">
        <f>IF(H12="","",IF(H12=0,0,$I12/$C12*Coeff!A$2/100))</f>
        <v/>
      </c>
      <c r="K12" s="5" t="str">
        <f>IF(I12="","",IF(I12=0,0,$I12/$C12*Coeff!B$2/100))</f>
        <v/>
      </c>
      <c r="L12" s="5" t="str">
        <f>IF(J12="","",IF(J12=0,0,$I12/$C12*Coeff!C$2/100))</f>
        <v/>
      </c>
      <c r="M12" s="5" t="str">
        <f>IF(K12="","",IF(K12=0,0,$I12/$C12*Coeff!D$2/100))</f>
        <v/>
      </c>
      <c r="N12" s="5" t="str">
        <f>IF(L12="","",IF(L12=0,0,$I12/$C12*Coeff!E$2/100))</f>
        <v/>
      </c>
      <c r="O12" s="5" t="str">
        <f>IF(M12="","",IF(M12=0,0,$I12/$C12*Coeff!F$2/100))</f>
        <v/>
      </c>
      <c r="P12" s="5" t="str">
        <f>IF(N12="","",IF(N12=0,0,$I12/$C12*Coeff!G$2/100))</f>
        <v/>
      </c>
      <c r="Q12" s="5" t="str">
        <f>IF(O12="","",IF(O12=0,0,$I12/$C12*Coeff!H$2/100))</f>
        <v/>
      </c>
      <c r="R12" s="5" t="str">
        <f>IF(P12="","",IF(P12=0,0,$I12/$C12*Coeff!I$2/100))</f>
        <v/>
      </c>
    </row>
    <row r="13" spans="1:18">
      <c r="A13" s="12" t="s">
        <v>35</v>
      </c>
      <c r="B13" s="12" t="s">
        <v>36</v>
      </c>
      <c r="C13" s="12">
        <v>1</v>
      </c>
      <c r="D13" s="12">
        <v>1</v>
      </c>
      <c r="E13" s="14">
        <f>Feuil1!J13</f>
        <v>99</v>
      </c>
      <c r="F13" s="8">
        <f>E13/C13</f>
        <v>99</v>
      </c>
      <c r="G13" s="12">
        <f>Feuil1!L13</f>
        <v>0</v>
      </c>
      <c r="H13" t="str">
        <f>IF(OR(G13="",G13=0,C13="",C13=0,D13="",D13=0),"",3*G13*C13/D13*Feuil1!$B$2/200+1)</f>
        <v/>
      </c>
      <c r="I13" t="str">
        <f t="shared" si="0"/>
        <v/>
      </c>
      <c r="J13" s="5" t="str">
        <f>IF(H13="","",IF(H13=0,0,$I13/$C13*Coeff!A$2/100))</f>
        <v/>
      </c>
      <c r="K13" s="5" t="str">
        <f>IF(I13="","",IF(I13=0,0,$I13/$C13*Coeff!B$2/100))</f>
        <v/>
      </c>
      <c r="L13" s="5" t="str">
        <f>IF(J13="","",IF(J13=0,0,$I13/$C13*Coeff!C$2/100))</f>
        <v/>
      </c>
      <c r="M13" s="5" t="str">
        <f>IF(K13="","",IF(K13=0,0,$I13/$C13*Coeff!D$2/100))</f>
        <v/>
      </c>
      <c r="N13" s="5" t="str">
        <f>IF(L13="","",IF(L13=0,0,$I13/$C13*Coeff!E$2/100))</f>
        <v/>
      </c>
      <c r="O13" s="5" t="str">
        <f>IF(M13="","",IF(M13=0,0,$I13/$C13*Coeff!F$2/100))</f>
        <v/>
      </c>
      <c r="P13" s="5" t="str">
        <f>IF(N13="","",IF(N13=0,0,$I13/$C13*Coeff!G$2/100))</f>
        <v/>
      </c>
      <c r="Q13" s="5" t="str">
        <f>IF(O13="","",IF(O13=0,0,$I13/$C13*Coeff!H$2/100))</f>
        <v/>
      </c>
      <c r="R13" s="5" t="str">
        <f>IF(P13="","",IF(P13=0,0,$I13/$C13*Coeff!I$2/100))</f>
        <v/>
      </c>
    </row>
    <row r="14" spans="1:18">
      <c r="A14" s="12" t="s">
        <v>37</v>
      </c>
      <c r="B14" s="12" t="s">
        <v>38</v>
      </c>
      <c r="C14" s="12">
        <v>1</v>
      </c>
      <c r="D14" s="12">
        <v>1</v>
      </c>
      <c r="E14" s="14">
        <f>Feuil1!J14</f>
        <v>75</v>
      </c>
      <c r="F14" s="8">
        <f>E14/C14</f>
        <v>75</v>
      </c>
      <c r="G14" s="12">
        <f>Feuil1!L14</f>
        <v>30</v>
      </c>
      <c r="H14">
        <f>IF(OR(G14="",G14=0,C14="",C14=0,D14="",D14=0),"",3*G14*C14/D14*Feuil1!$B$2/200+1)</f>
        <v>36.549999999999997</v>
      </c>
      <c r="I14">
        <f t="shared" si="0"/>
        <v>168.4</v>
      </c>
      <c r="J14" s="5">
        <f>IF(H14="","",IF(H14=0,0,$I14/$C14*Coeff!A$2/100))</f>
        <v>168.4</v>
      </c>
      <c r="K14" s="5">
        <f>IF(I14="","",IF(I14=0,0,$I14/$C14*Coeff!B$2/100))</f>
        <v>23.576000000000001</v>
      </c>
      <c r="L14" s="5">
        <f>IF(J14="","",IF(J14=0,0,$I14/$C14*Coeff!C$2/100))</f>
        <v>23.567322069929837</v>
      </c>
      <c r="M14" s="5">
        <f>IF(K14="","",IF(K14=0,0,$I14/$C14*Coeff!D$2/100))</f>
        <v>23.558650526072253</v>
      </c>
      <c r="N14" s="5">
        <f>IF(L14="","",IF(L14=0,0,$I14/$C14*Coeff!E$2/100))</f>
        <v>23.549985361380156</v>
      </c>
      <c r="O14" s="5">
        <f>IF(M14="","",IF(M14=0,0,$I14/$C14*Coeff!F$2/100))</f>
        <v>23.489507235386046</v>
      </c>
      <c r="P14" s="5">
        <f>IF(N14="","",IF(N14=0,0,$I14/$C14*Coeff!G$2/100))</f>
        <v>22.738718488707129</v>
      </c>
      <c r="Q14" s="5">
        <f>IF(O14="","",IF(O14=0,0,$I14/$C14*Coeff!H$2/100))</f>
        <v>17.231197688291626</v>
      </c>
      <c r="R14" s="5">
        <f>IF(P14="","",IF(P14=0,0,$I14/$C14*Coeff!I$2/100))</f>
        <v>22.738718488707129</v>
      </c>
    </row>
    <row r="15" spans="1:18">
      <c r="A15" s="12" t="s">
        <v>39</v>
      </c>
      <c r="B15" s="12" t="s">
        <v>40</v>
      </c>
      <c r="C15" s="12">
        <v>10</v>
      </c>
      <c r="D15" s="12">
        <v>1</v>
      </c>
      <c r="E15" s="14">
        <f>Feuil1!J15</f>
        <v>2335</v>
      </c>
      <c r="F15" s="8">
        <f>E15/C15</f>
        <v>233.5</v>
      </c>
      <c r="G15" s="12">
        <f>Feuil1!L15</f>
        <v>0</v>
      </c>
      <c r="H15" t="str">
        <f>IF(OR(G15="",G15=0,C15="",C15=0,D15="",D15=0),"",3*G15*C15/D15*Feuil1!$B$2/200+1)</f>
        <v/>
      </c>
      <c r="I15" t="str">
        <f>IF(H15="","",IF(H15=0,"",H15+(SUM($H$2:$H$1004))/2-H15/2))</f>
        <v/>
      </c>
      <c r="J15" s="5" t="str">
        <f>IF(H15="","",IF(H15=0,0,$I15/$C15*Coeff!A$2/100))</f>
        <v/>
      </c>
      <c r="K15" s="5" t="str">
        <f>IF(I15="","",IF(I15=0,0,$I15/$C15*Coeff!B$2/100))</f>
        <v/>
      </c>
      <c r="L15" s="5" t="str">
        <f>IF(J15="","",IF(J15=0,0,$I15/$C15*Coeff!C$2/100))</f>
        <v/>
      </c>
      <c r="M15" s="5" t="str">
        <f>IF(K15="","",IF(K15=0,0,$I15/$C15*Coeff!D$2/100))</f>
        <v/>
      </c>
      <c r="N15" s="5" t="str">
        <f>IF(L15="","",IF(L15=0,0,$I15/$C15*Coeff!E$2/100))</f>
        <v/>
      </c>
      <c r="O15" s="5" t="str">
        <f>IF(M15="","",IF(M15=0,0,$I15/$C15*Coeff!F$2/100))</f>
        <v/>
      </c>
      <c r="P15" s="5" t="str">
        <f>IF(N15="","",IF(N15=0,0,$I15/$C15*Coeff!G$2/100))</f>
        <v/>
      </c>
      <c r="Q15" s="5" t="str">
        <f>IF(O15="","",IF(O15=0,0,$I15/$C15*Coeff!H$2/100))</f>
        <v/>
      </c>
      <c r="R15" s="5" t="str">
        <f>IF(P15="","",IF(P15=0,0,$I15/$C15*Coeff!I$2/100))</f>
        <v/>
      </c>
    </row>
    <row r="16" spans="1:18">
      <c r="A16" s="12" t="s">
        <v>41</v>
      </c>
      <c r="B16" s="12" t="s">
        <v>42</v>
      </c>
      <c r="C16" s="12">
        <v>20</v>
      </c>
      <c r="D16" s="12">
        <v>1</v>
      </c>
      <c r="E16" s="14">
        <f>Feuil1!J16</f>
        <v>883</v>
      </c>
      <c r="F16" s="8">
        <f>E16/C16</f>
        <v>44.15</v>
      </c>
      <c r="G16" s="12">
        <f>Feuil1!L16</f>
        <v>4.5</v>
      </c>
      <c r="H16">
        <f>IF(OR(G16="",G16=0,C16="",C16=0,D16="",D16=0),"",3*G16*C16/D16*Feuil1!$B$2/200+1)</f>
        <v>107.65</v>
      </c>
      <c r="I16">
        <f t="shared" si="0"/>
        <v>203.95</v>
      </c>
      <c r="J16" s="5">
        <f>IF(H16="","",IF(H16=0,0,$I16/$C16*Coeff!A$2/100))</f>
        <v>10.1975</v>
      </c>
      <c r="K16" s="5">
        <f>IF(I16="","",IF(I16=0,0,$I16/$C16*Coeff!B$2/100))</f>
        <v>1.4276499999999999</v>
      </c>
      <c r="L16" s="5">
        <f>IF(J16="","",IF(J16=0,0,$I16/$C16*Coeff!C$2/100))</f>
        <v>1.4271245059863986</v>
      </c>
      <c r="M16" s="5">
        <f>IF(K16="","",IF(K16=0,0,$I16/$C16*Coeff!D$2/100))</f>
        <v>1.4265993986913406</v>
      </c>
      <c r="N16" s="5">
        <f>IF(L16="","",IF(L16=0,0,$I16/$C16*Coeff!E$2/100))</f>
        <v>1.4260746776880884</v>
      </c>
      <c r="O16" s="5">
        <f>IF(M16="","",IF(M16=0,0,$I16/$C16*Coeff!F$2/100))</f>
        <v>1.422412411121432</v>
      </c>
      <c r="P16" s="5">
        <f>IF(N16="","",IF(N16=0,0,$I16/$C16*Coeff!G$2/100))</f>
        <v>1.3769482291484021</v>
      </c>
      <c r="Q16" s="5">
        <f>IF(O16="","",IF(O16=0,0,$I16/$C16*Coeff!H$2/100))</f>
        <v>1.0434390642895122</v>
      </c>
      <c r="R16" s="5">
        <f>IF(P16="","",IF(P16=0,0,$I16/$C16*Coeff!I$2/100))</f>
        <v>1.3769482291484021</v>
      </c>
    </row>
    <row r="17" spans="1:18">
      <c r="A17" s="12" t="s">
        <v>43</v>
      </c>
      <c r="B17" s="12" t="s">
        <v>44</v>
      </c>
      <c r="C17" s="12">
        <v>5</v>
      </c>
      <c r="D17" s="12">
        <v>1</v>
      </c>
      <c r="E17" s="14">
        <f>Feuil1!J17</f>
        <v>1237</v>
      </c>
      <c r="F17" s="8">
        <f>E17/C17</f>
        <v>247.4</v>
      </c>
      <c r="G17" s="12">
        <f>Feuil1!L17</f>
        <v>0</v>
      </c>
      <c r="H17" t="str">
        <f>IF(OR(G17="",G17=0,C17="",C17=0,D17="",D17=0),"",3*G17*C17/D17*Feuil1!$B$2/200+1)</f>
        <v/>
      </c>
      <c r="I17" t="str">
        <f t="shared" si="0"/>
        <v/>
      </c>
      <c r="J17" s="5" t="str">
        <f>IF(H17="","",IF(H17=0,0,$I17/$C17*Coeff!A$2/100))</f>
        <v/>
      </c>
      <c r="K17" s="5" t="str">
        <f>IF(I17="","",IF(I17=0,0,$I17/$C17*Coeff!B$2/100))</f>
        <v/>
      </c>
      <c r="L17" s="5" t="str">
        <f>IF(J17="","",IF(J17=0,0,$I17/$C17*Coeff!C$2/100))</f>
        <v/>
      </c>
      <c r="M17" s="5" t="str">
        <f>IF(K17="","",IF(K17=0,0,$I17/$C17*Coeff!D$2/100))</f>
        <v/>
      </c>
      <c r="N17" s="5" t="str">
        <f>IF(L17="","",IF(L17=0,0,$I17/$C17*Coeff!E$2/100))</f>
        <v/>
      </c>
      <c r="O17" s="5" t="str">
        <f>IF(M17="","",IF(M17=0,0,$I17/$C17*Coeff!F$2/100))</f>
        <v/>
      </c>
      <c r="P17" s="5" t="str">
        <f>IF(N17="","",IF(N17=0,0,$I17/$C17*Coeff!G$2/100))</f>
        <v/>
      </c>
      <c r="Q17" s="5" t="str">
        <f>IF(O17="","",IF(O17=0,0,$I17/$C17*Coeff!H$2/100))</f>
        <v/>
      </c>
      <c r="R17" s="5" t="str">
        <f>IF(P17="","",IF(P17=0,0,$I17/$C17*Coeff!I$2/100))</f>
        <v/>
      </c>
    </row>
    <row r="18" spans="1:18">
      <c r="A18" s="12" t="s">
        <v>45</v>
      </c>
      <c r="B18" s="12" t="s">
        <v>46</v>
      </c>
      <c r="C18" s="12">
        <v>5</v>
      </c>
      <c r="D18" s="12">
        <v>1</v>
      </c>
      <c r="E18" s="14">
        <f>Feuil1!J18</f>
        <v>1562</v>
      </c>
      <c r="F18" s="8">
        <f>E18/C18</f>
        <v>312.39999999999998</v>
      </c>
      <c r="G18" s="12">
        <f>Feuil1!L18</f>
        <v>0</v>
      </c>
      <c r="H18" t="str">
        <f>IF(OR(G18="",G18=0,C18="",C18=0,D18="",D18=0),"",3*G18*C18/D18*Feuil1!$B$2/200+1)</f>
        <v/>
      </c>
      <c r="I18" t="str">
        <f t="shared" si="0"/>
        <v/>
      </c>
      <c r="J18" s="5" t="str">
        <f>IF(H18="","",IF(H18=0,0,$I18/$C18*Coeff!A$2/100))</f>
        <v/>
      </c>
      <c r="K18" s="5" t="str">
        <f>IF(I18="","",IF(I18=0,0,$I18/$C18*Coeff!B$2/100))</f>
        <v/>
      </c>
      <c r="L18" s="5" t="str">
        <f>IF(J18="","",IF(J18=0,0,$I18/$C18*Coeff!C$2/100))</f>
        <v/>
      </c>
      <c r="M18" s="5" t="str">
        <f>IF(K18="","",IF(K18=0,0,$I18/$C18*Coeff!D$2/100))</f>
        <v/>
      </c>
      <c r="N18" s="5" t="str">
        <f>IF(L18="","",IF(L18=0,0,$I18/$C18*Coeff!E$2/100))</f>
        <v/>
      </c>
      <c r="O18" s="5" t="str">
        <f>IF(M18="","",IF(M18=0,0,$I18/$C18*Coeff!F$2/100))</f>
        <v/>
      </c>
      <c r="P18" s="5" t="str">
        <f>IF(N18="","",IF(N18=0,0,$I18/$C18*Coeff!G$2/100))</f>
        <v/>
      </c>
      <c r="Q18" s="5" t="str">
        <f>IF(O18="","",IF(O18=0,0,$I18/$C18*Coeff!H$2/100))</f>
        <v/>
      </c>
      <c r="R18" s="5" t="str">
        <f>IF(P18="","",IF(P18=0,0,$I18/$C18*Coeff!I$2/100))</f>
        <v/>
      </c>
    </row>
    <row r="19" spans="1:18">
      <c r="A19" s="12" t="s">
        <v>49</v>
      </c>
      <c r="B19" s="12" t="s">
        <v>50</v>
      </c>
      <c r="C19" s="12">
        <v>5</v>
      </c>
      <c r="D19" s="12">
        <v>1</v>
      </c>
      <c r="E19" s="14">
        <f>Feuil1!J19</f>
        <v>1208</v>
      </c>
      <c r="F19" s="8">
        <f>E19/C19</f>
        <v>241.6</v>
      </c>
      <c r="G19" s="12">
        <f>Feuil1!L19</f>
        <v>0</v>
      </c>
      <c r="H19" t="str">
        <f>IF(OR(G19="",G19=0,C19="",C19=0,D19="",D19=0),"",3*G19*C19/D19*Feuil1!$B$2/200+1)</f>
        <v/>
      </c>
      <c r="I19" t="str">
        <f t="shared" si="0"/>
        <v/>
      </c>
      <c r="J19" s="5" t="str">
        <f>IF(H19="","",IF(H19=0,0,$I19/$C19*Coeff!A$2/100))</f>
        <v/>
      </c>
      <c r="K19" s="5" t="str">
        <f>IF(I19="","",IF(I19=0,0,$I19/$C19*Coeff!B$2/100))</f>
        <v/>
      </c>
      <c r="L19" s="5" t="str">
        <f>IF(J19="","",IF(J19=0,0,$I19/$C19*Coeff!C$2/100))</f>
        <v/>
      </c>
      <c r="M19" s="5" t="str">
        <f>IF(K19="","",IF(K19=0,0,$I19/$C19*Coeff!D$2/100))</f>
        <v/>
      </c>
      <c r="N19" s="5" t="str">
        <f>IF(L19="","",IF(L19=0,0,$I19/$C19*Coeff!E$2/100))</f>
        <v/>
      </c>
      <c r="O19" s="5" t="str">
        <f>IF(M19="","",IF(M19=0,0,$I19/$C19*Coeff!F$2/100))</f>
        <v/>
      </c>
      <c r="P19" s="5" t="str">
        <f>IF(N19="","",IF(N19=0,0,$I19/$C19*Coeff!G$2/100))</f>
        <v/>
      </c>
      <c r="Q19" s="5" t="str">
        <f>IF(O19="","",IF(O19=0,0,$I19/$C19*Coeff!H$2/100))</f>
        <v/>
      </c>
      <c r="R19" s="5" t="str">
        <f>IF(P19="","",IF(P19=0,0,$I19/$C19*Coeff!I$2/100))</f>
        <v/>
      </c>
    </row>
    <row r="20" spans="1:18">
      <c r="A20" s="12" t="s">
        <v>47</v>
      </c>
      <c r="B20" s="12" t="s">
        <v>48</v>
      </c>
      <c r="C20" s="12">
        <v>5</v>
      </c>
      <c r="D20" s="12">
        <v>1</v>
      </c>
      <c r="E20" s="14">
        <f>Feuil1!J20</f>
        <v>951</v>
      </c>
      <c r="F20" s="8">
        <f>E20/C20</f>
        <v>190.2</v>
      </c>
      <c r="G20" s="12">
        <f>Feuil1!L20</f>
        <v>0</v>
      </c>
      <c r="H20" t="str">
        <f>IF(OR(G20="",G20=0,C20="",C20=0,D20="",D20=0),"",3*G20*C20/D20*Feuil1!$B$2/200+1)</f>
        <v/>
      </c>
      <c r="I20" t="str">
        <f t="shared" si="0"/>
        <v/>
      </c>
      <c r="J20" s="5" t="str">
        <f>IF(H20="","",IF(H20=0,0,$I20/$C20*Coeff!A$2/100))</f>
        <v/>
      </c>
      <c r="K20" s="5" t="str">
        <f>IF(I20="","",IF(I20=0,0,$I20/$C20*Coeff!B$2/100))</f>
        <v/>
      </c>
      <c r="L20" s="5" t="str">
        <f>IF(J20="","",IF(J20=0,0,$I20/$C20*Coeff!C$2/100))</f>
        <v/>
      </c>
      <c r="M20" s="5" t="str">
        <f>IF(K20="","",IF(K20=0,0,$I20/$C20*Coeff!D$2/100))</f>
        <v/>
      </c>
      <c r="N20" s="5" t="str">
        <f>IF(L20="","",IF(L20=0,0,$I20/$C20*Coeff!E$2/100))</f>
        <v/>
      </c>
      <c r="O20" s="5" t="str">
        <f>IF(M20="","",IF(M20=0,0,$I20/$C20*Coeff!F$2/100))</f>
        <v/>
      </c>
      <c r="P20" s="5" t="str">
        <f>IF(N20="","",IF(N20=0,0,$I20/$C20*Coeff!G$2/100))</f>
        <v/>
      </c>
      <c r="Q20" s="5" t="str">
        <f>IF(O20="","",IF(O20=0,0,$I20/$C20*Coeff!H$2/100))</f>
        <v/>
      </c>
      <c r="R20" s="5" t="str">
        <f>IF(P20="","",IF(P20=0,0,$I20/$C20*Coeff!I$2/100))</f>
        <v/>
      </c>
    </row>
    <row r="21" spans="1:18">
      <c r="A21" s="12" t="s">
        <v>51</v>
      </c>
      <c r="B21" s="12" t="s">
        <v>52</v>
      </c>
      <c r="C21" s="12">
        <v>5</v>
      </c>
      <c r="D21" s="12">
        <v>1</v>
      </c>
      <c r="E21" s="14">
        <f>Feuil1!J21</f>
        <v>1143</v>
      </c>
      <c r="F21" s="8">
        <f>E21/C21</f>
        <v>228.6</v>
      </c>
      <c r="G21" s="12">
        <f>Feuil1!L21</f>
        <v>0</v>
      </c>
      <c r="H21" t="str">
        <f>IF(OR(G21="",G21=0,C21="",C21=0,D21="",D21=0),"",3*G21*C21/D21*Feuil1!$B$2/200+1)</f>
        <v/>
      </c>
      <c r="I21" t="str">
        <f t="shared" si="0"/>
        <v/>
      </c>
      <c r="J21" s="5" t="str">
        <f>IF(H21="","",IF(H21=0,0,$I21/$C21*Coeff!A$2/100))</f>
        <v/>
      </c>
      <c r="K21" s="5" t="str">
        <f>IF(I21="","",IF(I21=0,0,$I21/$C21*Coeff!B$2/100))</f>
        <v/>
      </c>
      <c r="L21" s="5" t="str">
        <f>IF(J21="","",IF(J21=0,0,$I21/$C21*Coeff!C$2/100))</f>
        <v/>
      </c>
      <c r="M21" s="5" t="str">
        <f>IF(K21="","",IF(K21=0,0,$I21/$C21*Coeff!D$2/100))</f>
        <v/>
      </c>
      <c r="N21" s="5" t="str">
        <f>IF(L21="","",IF(L21=0,0,$I21/$C21*Coeff!E$2/100))</f>
        <v/>
      </c>
      <c r="O21" s="5" t="str">
        <f>IF(M21="","",IF(M21=0,0,$I21/$C21*Coeff!F$2/100))</f>
        <v/>
      </c>
      <c r="P21" s="5" t="str">
        <f>IF(N21="","",IF(N21=0,0,$I21/$C21*Coeff!G$2/100))</f>
        <v/>
      </c>
      <c r="Q21" s="5" t="str">
        <f>IF(O21="","",IF(O21=0,0,$I21/$C21*Coeff!H$2/100))</f>
        <v/>
      </c>
      <c r="R21" s="5" t="str">
        <f>IF(P21="","",IF(P21=0,0,$I21/$C21*Coeff!I$2/100))</f>
        <v/>
      </c>
    </row>
    <row r="22" spans="1:18">
      <c r="A22" s="12" t="s">
        <v>53</v>
      </c>
      <c r="B22" s="12" t="s">
        <v>54</v>
      </c>
      <c r="C22" s="12">
        <v>5</v>
      </c>
      <c r="D22" s="12">
        <v>1</v>
      </c>
      <c r="E22" s="14">
        <f>Feuil1!J22</f>
        <v>315</v>
      </c>
      <c r="F22" s="8">
        <f>E22/C22</f>
        <v>63</v>
      </c>
      <c r="G22" s="12">
        <f>Feuil1!L22</f>
        <v>0</v>
      </c>
      <c r="H22" t="str">
        <f>IF(OR(G22="",G22=0,C22="",C22=0,D22="",D22=0),"",3*G22*C22/D22*Feuil1!$B$2/200+1)</f>
        <v/>
      </c>
      <c r="I22" t="str">
        <f t="shared" si="0"/>
        <v/>
      </c>
      <c r="J22" s="5" t="str">
        <f>IF(H22="","",IF(H22=0,0,$I22/$C22*Coeff!A$2/100))</f>
        <v/>
      </c>
      <c r="K22" s="5" t="str">
        <f>IF(I22="","",IF(I22=0,0,$I22/$C22*Coeff!B$2/100))</f>
        <v/>
      </c>
      <c r="L22" s="5" t="str">
        <f>IF(J22="","",IF(J22=0,0,$I22/$C22*Coeff!C$2/100))</f>
        <v/>
      </c>
      <c r="M22" s="5" t="str">
        <f>IF(K22="","",IF(K22=0,0,$I22/$C22*Coeff!D$2/100))</f>
        <v/>
      </c>
      <c r="N22" s="5" t="str">
        <f>IF(L22="","",IF(L22=0,0,$I22/$C22*Coeff!E$2/100))</f>
        <v/>
      </c>
      <c r="O22" s="5" t="str">
        <f>IF(M22="","",IF(M22=0,0,$I22/$C22*Coeff!F$2/100))</f>
        <v/>
      </c>
      <c r="P22" s="5" t="str">
        <f>IF(N22="","",IF(N22=0,0,$I22/$C22*Coeff!G$2/100))</f>
        <v/>
      </c>
      <c r="Q22" s="5" t="str">
        <f>IF(O22="","",IF(O22=0,0,$I22/$C22*Coeff!H$2/100))</f>
        <v/>
      </c>
      <c r="R22" s="5" t="str">
        <f>IF(P22="","",IF(P22=0,0,$I22/$C22*Coeff!I$2/100))</f>
        <v/>
      </c>
    </row>
    <row r="23" spans="1:18">
      <c r="A23" s="12" t="s">
        <v>55</v>
      </c>
      <c r="B23" s="12" t="s">
        <v>54</v>
      </c>
      <c r="C23" s="12">
        <v>5</v>
      </c>
      <c r="D23" s="12">
        <v>1</v>
      </c>
      <c r="E23" s="14">
        <f>Feuil1!J23</f>
        <v>244</v>
      </c>
      <c r="F23" s="8">
        <f>E23/C23</f>
        <v>48.8</v>
      </c>
      <c r="G23" s="12">
        <f>Feuil1!L23</f>
        <v>0</v>
      </c>
      <c r="H23" t="str">
        <f>IF(OR(G23="",G23=0,C23="",C23=0,D23="",D23=0),"",3*G23*C23/D23*Feuil1!$B$2/200+1)</f>
        <v/>
      </c>
      <c r="I23" t="str">
        <f t="shared" si="0"/>
        <v/>
      </c>
      <c r="J23" s="5" t="str">
        <f>IF(H23="","",IF(H23=0,0,$I23/$C23*Coeff!A$2/100))</f>
        <v/>
      </c>
      <c r="K23" s="5" t="str">
        <f>IF(I23="","",IF(I23=0,0,$I23/$C23*Coeff!B$2/100))</f>
        <v/>
      </c>
      <c r="L23" s="5" t="str">
        <f>IF(J23="","",IF(J23=0,0,$I23/$C23*Coeff!C$2/100))</f>
        <v/>
      </c>
      <c r="M23" s="5" t="str">
        <f>IF(K23="","",IF(K23=0,0,$I23/$C23*Coeff!D$2/100))</f>
        <v/>
      </c>
      <c r="N23" s="5" t="str">
        <f>IF(L23="","",IF(L23=0,0,$I23/$C23*Coeff!E$2/100))</f>
        <v/>
      </c>
      <c r="O23" s="5" t="str">
        <f>IF(M23="","",IF(M23=0,0,$I23/$C23*Coeff!F$2/100))</f>
        <v/>
      </c>
      <c r="P23" s="5" t="str">
        <f>IF(N23="","",IF(N23=0,0,$I23/$C23*Coeff!G$2/100))</f>
        <v/>
      </c>
      <c r="Q23" s="5" t="str">
        <f>IF(O23="","",IF(O23=0,0,$I23/$C23*Coeff!H$2/100))</f>
        <v/>
      </c>
      <c r="R23" s="5" t="str">
        <f>IF(P23="","",IF(P23=0,0,$I23/$C23*Coeff!I$2/100))</f>
        <v/>
      </c>
    </row>
    <row r="24" spans="1:18">
      <c r="A24" s="12" t="s">
        <v>56</v>
      </c>
      <c r="B24" s="12" t="s">
        <v>57</v>
      </c>
      <c r="C24" s="12">
        <v>5</v>
      </c>
      <c r="D24" s="12">
        <v>1</v>
      </c>
      <c r="E24" s="14">
        <f>Feuil1!J24</f>
        <v>1188</v>
      </c>
      <c r="F24" s="8">
        <f>E24/C24</f>
        <v>237.6</v>
      </c>
      <c r="G24" s="12">
        <f>Feuil1!L24</f>
        <v>0</v>
      </c>
      <c r="H24" t="str">
        <f>IF(OR(G24="",G24=0,C24="",C24=0,D24="",D24=0),"",3*G24*C24/D24*Feuil1!$B$2/200+1)</f>
        <v/>
      </c>
      <c r="I24" t="str">
        <f t="shared" si="0"/>
        <v/>
      </c>
      <c r="J24" s="5" t="str">
        <f>IF(H24="","",IF(H24=0,0,$I24/$C24*Coeff!A$2/100))</f>
        <v/>
      </c>
      <c r="K24" s="5" t="str">
        <f>IF(I24="","",IF(I24=0,0,$I24/$C24*Coeff!B$2/100))</f>
        <v/>
      </c>
      <c r="L24" s="5" t="str">
        <f>IF(J24="","",IF(J24=0,0,$I24/$C24*Coeff!C$2/100))</f>
        <v/>
      </c>
      <c r="M24" s="5" t="str">
        <f>IF(K24="","",IF(K24=0,0,$I24/$C24*Coeff!D$2/100))</f>
        <v/>
      </c>
      <c r="N24" s="5" t="str">
        <f>IF(L24="","",IF(L24=0,0,$I24/$C24*Coeff!E$2/100))</f>
        <v/>
      </c>
      <c r="O24" s="5" t="str">
        <f>IF(M24="","",IF(M24=0,0,$I24/$C24*Coeff!F$2/100))</f>
        <v/>
      </c>
      <c r="P24" s="5" t="str">
        <f>IF(N24="","",IF(N24=0,0,$I24/$C24*Coeff!G$2/100))</f>
        <v/>
      </c>
      <c r="Q24" s="5" t="str">
        <f>IF(O24="","",IF(O24=0,0,$I24/$C24*Coeff!H$2/100))</f>
        <v/>
      </c>
      <c r="R24" s="5" t="str">
        <f>IF(P24="","",IF(P24=0,0,$I24/$C24*Coeff!I$2/100))</f>
        <v/>
      </c>
    </row>
    <row r="25" spans="1:18">
      <c r="A25" s="12" t="s">
        <v>58</v>
      </c>
      <c r="B25" s="12" t="s">
        <v>59</v>
      </c>
      <c r="C25" s="12">
        <v>5</v>
      </c>
      <c r="D25" s="12">
        <v>1</v>
      </c>
      <c r="E25" s="14">
        <f>Feuil1!J25</f>
        <v>736</v>
      </c>
      <c r="F25" s="8">
        <f>E25/C25</f>
        <v>147.19999999999999</v>
      </c>
      <c r="G25" s="12">
        <f>Feuil1!L25</f>
        <v>0</v>
      </c>
      <c r="H25" t="str">
        <f>IF(OR(G25="",G25=0,C25="",C25=0,D25="",D25=0),"",3*G25*C25/D25*Feuil1!$B$2/200+1)</f>
        <v/>
      </c>
      <c r="I25" t="str">
        <f t="shared" si="0"/>
        <v/>
      </c>
      <c r="J25" s="5" t="str">
        <f>IF(H25="","",IF(H25=0,0,$I25/$C25*Coeff!A$2/100))</f>
        <v/>
      </c>
      <c r="K25" s="5" t="str">
        <f>IF(I25="","",IF(I25=0,0,$I25/$C25*Coeff!B$2/100))</f>
        <v/>
      </c>
      <c r="L25" s="5" t="str">
        <f>IF(J25="","",IF(J25=0,0,$I25/$C25*Coeff!C$2/100))</f>
        <v/>
      </c>
      <c r="M25" s="5" t="str">
        <f>IF(K25="","",IF(K25=0,0,$I25/$C25*Coeff!D$2/100))</f>
        <v/>
      </c>
      <c r="N25" s="5" t="str">
        <f>IF(L25="","",IF(L25=0,0,$I25/$C25*Coeff!E$2/100))</f>
        <v/>
      </c>
      <c r="O25" s="5" t="str">
        <f>IF(M25="","",IF(M25=0,0,$I25/$C25*Coeff!F$2/100))</f>
        <v/>
      </c>
      <c r="P25" s="5" t="str">
        <f>IF(N25="","",IF(N25=0,0,$I25/$C25*Coeff!G$2/100))</f>
        <v/>
      </c>
      <c r="Q25" s="5" t="str">
        <f>IF(O25="","",IF(O25=0,0,$I25/$C25*Coeff!H$2/100))</f>
        <v/>
      </c>
      <c r="R25" s="5" t="str">
        <f>IF(P25="","",IF(P25=0,0,$I25/$C25*Coeff!I$2/100))</f>
        <v/>
      </c>
    </row>
    <row r="26" spans="1:18">
      <c r="A26" s="12" t="s">
        <v>60</v>
      </c>
      <c r="B26" s="12" t="s">
        <v>61</v>
      </c>
      <c r="C26" s="12">
        <v>7</v>
      </c>
      <c r="D26" s="12">
        <v>1</v>
      </c>
      <c r="E26" s="14">
        <f>Feuil1!J26</f>
        <v>580</v>
      </c>
      <c r="F26" s="8">
        <f>E26/C26</f>
        <v>82.857142857142861</v>
      </c>
      <c r="G26" s="12">
        <f>Feuil1!L26</f>
        <v>0</v>
      </c>
      <c r="H26" t="str">
        <f>IF(OR(G26="",G26=0,C26="",C26=0,D26="",D26=0),"",3*G26*C26/D26*Feuil1!$B$2/200+1)</f>
        <v/>
      </c>
      <c r="I26" t="str">
        <f t="shared" si="0"/>
        <v/>
      </c>
      <c r="J26" s="5" t="str">
        <f>IF(H26="","",IF(H26=0,0,$I26/$C26*Coeff!A$2/100))</f>
        <v/>
      </c>
      <c r="K26" s="5" t="str">
        <f>IF(I26="","",IF(I26=0,0,$I26/$C26*Coeff!B$2/100))</f>
        <v/>
      </c>
      <c r="L26" s="5" t="str">
        <f>IF(J26="","",IF(J26=0,0,$I26/$C26*Coeff!C$2/100))</f>
        <v/>
      </c>
      <c r="M26" s="5" t="str">
        <f>IF(K26="","",IF(K26=0,0,$I26/$C26*Coeff!D$2/100))</f>
        <v/>
      </c>
      <c r="N26" s="5" t="str">
        <f>IF(L26="","",IF(L26=0,0,$I26/$C26*Coeff!E$2/100))</f>
        <v/>
      </c>
      <c r="O26" s="5" t="str">
        <f>IF(M26="","",IF(M26=0,0,$I26/$C26*Coeff!F$2/100))</f>
        <v/>
      </c>
      <c r="P26" s="5" t="str">
        <f>IF(N26="","",IF(N26=0,0,$I26/$C26*Coeff!G$2/100))</f>
        <v/>
      </c>
      <c r="Q26" s="5" t="str">
        <f>IF(O26="","",IF(O26=0,0,$I26/$C26*Coeff!H$2/100))</f>
        <v/>
      </c>
      <c r="R26" s="5" t="str">
        <f>IF(P26="","",IF(P26=0,0,$I26/$C26*Coeff!I$2/100))</f>
        <v/>
      </c>
    </row>
    <row r="27" spans="1:18">
      <c r="A27" s="12" t="s">
        <v>62</v>
      </c>
      <c r="B27" s="12" t="s">
        <v>63</v>
      </c>
      <c r="C27" s="12">
        <v>7</v>
      </c>
      <c r="D27" s="12">
        <v>1</v>
      </c>
      <c r="E27" s="14">
        <f>Feuil1!J27</f>
        <v>330</v>
      </c>
      <c r="F27" s="8">
        <f>E27/C27</f>
        <v>47.142857142857146</v>
      </c>
      <c r="G27" s="12">
        <f>Feuil1!L27</f>
        <v>0</v>
      </c>
      <c r="H27" t="str">
        <f>IF(OR(G27="",G27=0,C27="",C27=0,D27="",D27=0),"",3*G27*C27/D27*Feuil1!$B$2/200+1)</f>
        <v/>
      </c>
      <c r="I27" t="str">
        <f t="shared" si="0"/>
        <v/>
      </c>
      <c r="J27" s="5" t="str">
        <f>IF(H27="","",IF(H27=0,0,$I27/$C27*Coeff!A$2/100))</f>
        <v/>
      </c>
      <c r="K27" s="5" t="str">
        <f>IF(I27="","",IF(I27=0,0,$I27/$C27*Coeff!B$2/100))</f>
        <v/>
      </c>
      <c r="L27" s="5" t="str">
        <f>IF(J27="","",IF(J27=0,0,$I27/$C27*Coeff!C$2/100))</f>
        <v/>
      </c>
      <c r="M27" s="5" t="str">
        <f>IF(K27="","",IF(K27=0,0,$I27/$C27*Coeff!D$2/100))</f>
        <v/>
      </c>
      <c r="N27" s="5" t="str">
        <f>IF(L27="","",IF(L27=0,0,$I27/$C27*Coeff!E$2/100))</f>
        <v/>
      </c>
      <c r="O27" s="5" t="str">
        <f>IF(M27="","",IF(M27=0,0,$I27/$C27*Coeff!F$2/100))</f>
        <v/>
      </c>
      <c r="P27" s="5" t="str">
        <f>IF(N27="","",IF(N27=0,0,$I27/$C27*Coeff!G$2/100))</f>
        <v/>
      </c>
      <c r="Q27" s="5" t="str">
        <f>IF(O27="","",IF(O27=0,0,$I27/$C27*Coeff!H$2/100))</f>
        <v/>
      </c>
      <c r="R27" s="5" t="str">
        <f>IF(P27="","",IF(P27=0,0,$I27/$C27*Coeff!I$2/100))</f>
        <v/>
      </c>
    </row>
    <row r="28" spans="1:18">
      <c r="A28" s="12" t="s">
        <v>64</v>
      </c>
      <c r="B28" s="12" t="s">
        <v>65</v>
      </c>
      <c r="C28" s="12">
        <v>1</v>
      </c>
      <c r="D28" s="12">
        <v>1</v>
      </c>
      <c r="E28" s="14">
        <f>Feuil1!J28</f>
        <v>70</v>
      </c>
      <c r="F28" s="8">
        <f>E28/C28</f>
        <v>70</v>
      </c>
      <c r="G28" s="12">
        <f>Feuil1!L28</f>
        <v>0</v>
      </c>
      <c r="H28" t="str">
        <f>IF(OR(G28="",G28=0,C28="",C28=0,D28="",D28=0),"",3*G28*C28/D28*Feuil1!$B$2/200+1)</f>
        <v/>
      </c>
      <c r="I28" t="str">
        <f t="shared" si="0"/>
        <v/>
      </c>
      <c r="J28" s="5" t="str">
        <f>IF(H28="","",IF(H28=0,0,$I28/$C28*Coeff!A$2/100))</f>
        <v/>
      </c>
      <c r="K28" s="5" t="str">
        <f>IF(I28="","",IF(I28=0,0,$I28/$C28*Coeff!B$2/100))</f>
        <v/>
      </c>
      <c r="L28" s="5" t="str">
        <f>IF(J28="","",IF(J28=0,0,$I28/$C28*Coeff!C$2/100))</f>
        <v/>
      </c>
      <c r="M28" s="5" t="str">
        <f>IF(K28="","",IF(K28=0,0,$I28/$C28*Coeff!D$2/100))</f>
        <v/>
      </c>
      <c r="N28" s="5" t="str">
        <f>IF(L28="","",IF(L28=0,0,$I28/$C28*Coeff!E$2/100))</f>
        <v/>
      </c>
      <c r="O28" s="5" t="str">
        <f>IF(M28="","",IF(M28=0,0,$I28/$C28*Coeff!F$2/100))</f>
        <v/>
      </c>
      <c r="P28" s="5" t="str">
        <f>IF(N28="","",IF(N28=0,0,$I28/$C28*Coeff!G$2/100))</f>
        <v/>
      </c>
      <c r="Q28" s="5" t="str">
        <f>IF(O28="","",IF(O28=0,0,$I28/$C28*Coeff!H$2/100))</f>
        <v/>
      </c>
      <c r="R28" s="5" t="str">
        <f>IF(P28="","",IF(P28=0,0,$I28/$C28*Coeff!I$2/100))</f>
        <v/>
      </c>
    </row>
    <row r="29" spans="1:18">
      <c r="A29" s="12" t="s">
        <v>66</v>
      </c>
      <c r="B29" s="12" t="s">
        <v>67</v>
      </c>
      <c r="C29" s="12">
        <v>4</v>
      </c>
      <c r="D29" s="12">
        <v>1</v>
      </c>
      <c r="E29" s="14">
        <f>Feuil1!J29</f>
        <v>391</v>
      </c>
      <c r="F29" s="8">
        <f>E29/C29</f>
        <v>97.75</v>
      </c>
      <c r="G29" s="12">
        <f>Feuil1!L29</f>
        <v>0</v>
      </c>
      <c r="H29" t="str">
        <f>IF(OR(G29="",G29=0,C29="",C29=0,D29="",D29=0),"",3*G29*C29/D29*Feuil1!$B$2/200+1)</f>
        <v/>
      </c>
      <c r="I29" t="str">
        <f t="shared" si="0"/>
        <v/>
      </c>
      <c r="J29" s="5" t="str">
        <f>IF(H29="","",IF(H29=0,0,$I29/$C29*Coeff!A$2/100))</f>
        <v/>
      </c>
      <c r="K29" s="5" t="str">
        <f>IF(I29="","",IF(I29=0,0,$I29/$C29*Coeff!B$2/100))</f>
        <v/>
      </c>
      <c r="L29" s="5" t="str">
        <f>IF(J29="","",IF(J29=0,0,$I29/$C29*Coeff!C$2/100))</f>
        <v/>
      </c>
      <c r="M29" s="5" t="str">
        <f>IF(K29="","",IF(K29=0,0,$I29/$C29*Coeff!D$2/100))</f>
        <v/>
      </c>
      <c r="N29" s="5" t="str">
        <f>IF(L29="","",IF(L29=0,0,$I29/$C29*Coeff!E$2/100))</f>
        <v/>
      </c>
      <c r="O29" s="5" t="str">
        <f>IF(M29="","",IF(M29=0,0,$I29/$C29*Coeff!F$2/100))</f>
        <v/>
      </c>
      <c r="P29" s="5" t="str">
        <f>IF(N29="","",IF(N29=0,0,$I29/$C29*Coeff!G$2/100))</f>
        <v/>
      </c>
      <c r="Q29" s="5" t="str">
        <f>IF(O29="","",IF(O29=0,0,$I29/$C29*Coeff!H$2/100))</f>
        <v/>
      </c>
      <c r="R29" s="5" t="str">
        <f>IF(P29="","",IF(P29=0,0,$I29/$C29*Coeff!I$2/100))</f>
        <v/>
      </c>
    </row>
    <row r="30" spans="1:18">
      <c r="A30" s="12" t="s">
        <v>68</v>
      </c>
      <c r="B30" s="12" t="s">
        <v>69</v>
      </c>
      <c r="C30" s="12">
        <v>1</v>
      </c>
      <c r="D30" s="12">
        <v>10</v>
      </c>
      <c r="E30" s="14">
        <f>Feuil1!J30</f>
        <v>75</v>
      </c>
      <c r="F30" s="8">
        <f>E30/C30</f>
        <v>75</v>
      </c>
      <c r="G30" s="12">
        <f>Feuil1!L30</f>
        <v>0</v>
      </c>
      <c r="H30" t="str">
        <f>IF(OR(G30="",G30=0,C30="",C30=0,D30="",D30=0),"",3*G30*C30/D30*Feuil1!$B$2/200+1)</f>
        <v/>
      </c>
      <c r="I30" t="str">
        <f t="shared" si="0"/>
        <v/>
      </c>
      <c r="J30" s="5" t="str">
        <f>IF(H30="","",IF(H30=0,0,$I30/$C30*Coeff!A$2/100))</f>
        <v/>
      </c>
      <c r="K30" s="5" t="str">
        <f>IF(I30="","",IF(I30=0,0,$I30/$C30*Coeff!B$2/100))</f>
        <v/>
      </c>
      <c r="L30" s="5" t="str">
        <f>IF(J30="","",IF(J30=0,0,$I30/$C30*Coeff!C$2/100))</f>
        <v/>
      </c>
      <c r="M30" s="5" t="str">
        <f>IF(K30="","",IF(K30=0,0,$I30/$C30*Coeff!D$2/100))</f>
        <v/>
      </c>
      <c r="N30" s="5" t="str">
        <f>IF(L30="","",IF(L30=0,0,$I30/$C30*Coeff!E$2/100))</f>
        <v/>
      </c>
      <c r="O30" s="5" t="str">
        <f>IF(M30="","",IF(M30=0,0,$I30/$C30*Coeff!F$2/100))</f>
        <v/>
      </c>
      <c r="P30" s="5" t="str">
        <f>IF(N30="","",IF(N30=0,0,$I30/$C30*Coeff!G$2/100))</f>
        <v/>
      </c>
      <c r="Q30" s="5" t="str">
        <f>IF(O30="","",IF(O30=0,0,$I30/$C30*Coeff!H$2/100))</f>
        <v/>
      </c>
      <c r="R30" s="5" t="str">
        <f>IF(P30="","",IF(P30=0,0,$I30/$C30*Coeff!I$2/100))</f>
        <v/>
      </c>
    </row>
    <row r="31" spans="1:18">
      <c r="A31" s="12" t="s">
        <v>70</v>
      </c>
      <c r="B31" s="12" t="s">
        <v>71</v>
      </c>
      <c r="C31" s="12">
        <v>1</v>
      </c>
      <c r="D31" s="12">
        <v>1</v>
      </c>
      <c r="E31" s="14">
        <f>Feuil1!J31</f>
        <v>57</v>
      </c>
      <c r="F31" s="8">
        <f>E31/C31</f>
        <v>57</v>
      </c>
      <c r="G31" s="12">
        <f>Feuil1!L31</f>
        <v>30</v>
      </c>
      <c r="H31">
        <f>IF(OR(G31="",G31=0,C31="",C31=0,D31="",D31=0),"",3*G31*C31/D31*Feuil1!$B$2/200+1)</f>
        <v>36.549999999999997</v>
      </c>
      <c r="I31">
        <f t="shared" si="0"/>
        <v>168.4</v>
      </c>
      <c r="J31" s="5">
        <f>IF(H31="","",IF(H31=0,0,$I31/$C31*Coeff!A$2/100))</f>
        <v>168.4</v>
      </c>
      <c r="K31" s="5">
        <f>IF(I31="","",IF(I31=0,0,$I31/$C31*Coeff!B$2/100))</f>
        <v>23.576000000000001</v>
      </c>
      <c r="L31" s="5">
        <f>IF(J31="","",IF(J31=0,0,$I31/$C31*Coeff!C$2/100))</f>
        <v>23.567322069929837</v>
      </c>
      <c r="M31" s="5">
        <f>IF(K31="","",IF(K31=0,0,$I31/$C31*Coeff!D$2/100))</f>
        <v>23.558650526072253</v>
      </c>
      <c r="N31" s="5">
        <f>IF(L31="","",IF(L31=0,0,$I31/$C31*Coeff!E$2/100))</f>
        <v>23.549985361380156</v>
      </c>
      <c r="O31" s="5">
        <f>IF(M31="","",IF(M31=0,0,$I31/$C31*Coeff!F$2/100))</f>
        <v>23.489507235386046</v>
      </c>
      <c r="P31" s="5">
        <f>IF(N31="","",IF(N31=0,0,$I31/$C31*Coeff!G$2/100))</f>
        <v>22.738718488707129</v>
      </c>
      <c r="Q31" s="5">
        <f>IF(O31="","",IF(O31=0,0,$I31/$C31*Coeff!H$2/100))</f>
        <v>17.231197688291626</v>
      </c>
      <c r="R31" s="5">
        <f>IF(P31="","",IF(P31=0,0,$I31/$C31*Coeff!I$2/100))</f>
        <v>22.738718488707129</v>
      </c>
    </row>
    <row r="32" spans="1:18">
      <c r="A32" s="12" t="s">
        <v>72</v>
      </c>
      <c r="B32" s="12" t="s">
        <v>73</v>
      </c>
      <c r="C32" s="12">
        <v>30</v>
      </c>
      <c r="D32" s="12">
        <v>1</v>
      </c>
      <c r="E32" s="14">
        <f>Feuil1!J32</f>
        <v>5297</v>
      </c>
      <c r="F32" s="8">
        <f>E32/C32</f>
        <v>176.56666666666666</v>
      </c>
      <c r="G32" s="12">
        <f>Feuil1!L32</f>
        <v>0</v>
      </c>
      <c r="H32" t="str">
        <f>IF(OR(G32="",G32=0,C32="",C32=0,D32="",D32=0),"",3*G32*C32/D32*Feuil1!$B$2/200+1)</f>
        <v/>
      </c>
      <c r="I32" t="str">
        <f t="shared" si="0"/>
        <v/>
      </c>
      <c r="J32" s="5" t="str">
        <f>IF(H32="","",IF(H32=0,0,$I32/$C32*Coeff!A$2/100))</f>
        <v/>
      </c>
      <c r="K32" s="5" t="str">
        <f>IF(I32="","",IF(I32=0,0,$I32/$C32*Coeff!B$2/100))</f>
        <v/>
      </c>
      <c r="L32" s="5" t="str">
        <f>IF(J32="","",IF(J32=0,0,$I32/$C32*Coeff!C$2/100))</f>
        <v/>
      </c>
      <c r="M32" s="5" t="str">
        <f>IF(K32="","",IF(K32=0,0,$I32/$C32*Coeff!D$2/100))</f>
        <v/>
      </c>
      <c r="N32" s="5" t="str">
        <f>IF(L32="","",IF(L32=0,0,$I32/$C32*Coeff!E$2/100))</f>
        <v/>
      </c>
      <c r="O32" s="5" t="str">
        <f>IF(M32="","",IF(M32=0,0,$I32/$C32*Coeff!F$2/100))</f>
        <v/>
      </c>
      <c r="P32" s="5" t="str">
        <f>IF(N32="","",IF(N32=0,0,$I32/$C32*Coeff!G$2/100))</f>
        <v/>
      </c>
      <c r="Q32" s="5" t="str">
        <f>IF(O32="","",IF(O32=0,0,$I32/$C32*Coeff!H$2/100))</f>
        <v/>
      </c>
      <c r="R32" s="5" t="str">
        <f>IF(P32="","",IF(P32=0,0,$I32/$C32*Coeff!I$2/100))</f>
        <v/>
      </c>
    </row>
    <row r="33" spans="1:18">
      <c r="A33" s="12" t="s">
        <v>74</v>
      </c>
      <c r="B33" s="12" t="s">
        <v>75</v>
      </c>
      <c r="C33" s="12">
        <v>100</v>
      </c>
      <c r="D33" s="12">
        <v>1</v>
      </c>
      <c r="E33" s="14">
        <f>Feuil1!J33</f>
        <v>24815</v>
      </c>
      <c r="F33" s="8">
        <f>E33/C33</f>
        <v>248.15</v>
      </c>
      <c r="G33" s="12">
        <f>Feuil1!L33</f>
        <v>1</v>
      </c>
      <c r="H33">
        <f>IF(OR(G33="",G33=0,C33="",C33=0,D33="",D33=0),"",3*G33*C33/D33*Feuil1!$B$2/200+1)</f>
        <v>119.5</v>
      </c>
      <c r="I33">
        <f t="shared" si="0"/>
        <v>209.875</v>
      </c>
      <c r="J33" s="5">
        <f>IF(H33="","",IF(H33=0,0,$I33/$C33*Coeff!A$2/100))</f>
        <v>2.0987499999999999</v>
      </c>
      <c r="K33" s="5">
        <f>IF(I33="","",IF(I33=0,0,$I33/$C33*Coeff!B$2/100))</f>
        <v>0.293825</v>
      </c>
      <c r="L33" s="5">
        <f>IF(J33="","",IF(J33=0,0,$I33/$C33*Coeff!C$2/100))</f>
        <v>0.29371684794694325</v>
      </c>
      <c r="M33" s="5">
        <f>IF(K33="","",IF(K33=0,0,$I33/$C33*Coeff!D$2/100))</f>
        <v>0.29360877548452569</v>
      </c>
      <c r="N33" s="5">
        <f>IF(L33="","",IF(L33=0,0,$I33/$C33*Coeff!E$2/100))</f>
        <v>0.2935007825249204</v>
      </c>
      <c r="O33" s="5">
        <f>IF(M33="","",IF(M33=0,0,$I33/$C33*Coeff!F$2/100))</f>
        <v>0.29274705053602407</v>
      </c>
      <c r="P33" s="5">
        <f>IF(N33="","",IF(N33=0,0,$I33/$C33*Coeff!G$2/100))</f>
        <v>0.28339005598678191</v>
      </c>
      <c r="Q33" s="5">
        <f>IF(O33="","",IF(O33=0,0,$I33/$C33*Coeff!H$2/100))</f>
        <v>0.21475045218706679</v>
      </c>
      <c r="R33" s="5">
        <f>IF(P33="","",IF(P33=0,0,$I33/$C33*Coeff!I$2/100))</f>
        <v>0.28339005598678191</v>
      </c>
    </row>
    <row r="34" spans="1:18">
      <c r="A34" s="12" t="s">
        <v>76</v>
      </c>
      <c r="B34" s="12" t="s">
        <v>77</v>
      </c>
      <c r="C34" s="12">
        <v>90</v>
      </c>
      <c r="D34" s="12">
        <v>1</v>
      </c>
      <c r="E34" s="14">
        <f>Feuil1!J34</f>
        <v>22929</v>
      </c>
      <c r="F34" s="8">
        <f>E34/C34</f>
        <v>254.76666666666668</v>
      </c>
      <c r="G34" s="12">
        <f>Feuil1!L34</f>
        <v>0</v>
      </c>
      <c r="H34" t="str">
        <f>IF(OR(G34="",G34=0,C34="",C34=0,D34="",D34=0),"",3*G34*C34/D34*Feuil1!$B$2/200+1)</f>
        <v/>
      </c>
      <c r="I34" t="str">
        <f t="shared" si="0"/>
        <v/>
      </c>
      <c r="J34" s="5" t="str">
        <f>IF(H34="","",IF(H34=0,0,$I34/$C34*Coeff!A$2/100))</f>
        <v/>
      </c>
      <c r="K34" s="5" t="str">
        <f>IF(I34="","",IF(I34=0,0,$I34/$C34*Coeff!B$2/100))</f>
        <v/>
      </c>
      <c r="L34" s="5" t="str">
        <f>IF(J34="","",IF(J34=0,0,$I34/$C34*Coeff!C$2/100))</f>
        <v/>
      </c>
      <c r="M34" s="5" t="str">
        <f>IF(K34="","",IF(K34=0,0,$I34/$C34*Coeff!D$2/100))</f>
        <v/>
      </c>
      <c r="N34" s="5" t="str">
        <f>IF(L34="","",IF(L34=0,0,$I34/$C34*Coeff!E$2/100))</f>
        <v/>
      </c>
      <c r="O34" s="5" t="str">
        <f>IF(M34="","",IF(M34=0,0,$I34/$C34*Coeff!F$2/100))</f>
        <v/>
      </c>
      <c r="P34" s="5" t="str">
        <f>IF(N34="","",IF(N34=0,0,$I34/$C34*Coeff!G$2/100))</f>
        <v/>
      </c>
      <c r="Q34" s="5" t="str">
        <f>IF(O34="","",IF(O34=0,0,$I34/$C34*Coeff!H$2/100))</f>
        <v/>
      </c>
      <c r="R34" s="5" t="str">
        <f>IF(P34="","",IF(P34=0,0,$I34/$C34*Coeff!I$2/100))</f>
        <v/>
      </c>
    </row>
    <row r="35" spans="1:18">
      <c r="A35" s="12" t="s">
        <v>78</v>
      </c>
      <c r="B35" s="12" t="s">
        <v>79</v>
      </c>
      <c r="C35" s="12">
        <v>51</v>
      </c>
      <c r="D35" s="12">
        <v>1</v>
      </c>
      <c r="E35" s="14">
        <f>Feuil1!J35</f>
        <v>9260</v>
      </c>
      <c r="F35" s="8">
        <f>E35/C35</f>
        <v>181.56862745098039</v>
      </c>
      <c r="G35" s="12">
        <f>Feuil1!L35</f>
        <v>0</v>
      </c>
      <c r="H35" t="str">
        <f>IF(OR(G35="",G35=0,C35="",C35=0,D35="",D35=0),"",3*G35*C35/D35*Feuil1!$B$2/200+1)</f>
        <v/>
      </c>
      <c r="I35" t="str">
        <f t="shared" si="0"/>
        <v/>
      </c>
      <c r="J35" s="5" t="str">
        <f>IF(H35="","",IF(H35=0,0,$I35/$C35*Coeff!A$2/100))</f>
        <v/>
      </c>
      <c r="K35" s="5" t="str">
        <f>IF(I35="","",IF(I35=0,0,$I35/$C35*Coeff!B$2/100))</f>
        <v/>
      </c>
      <c r="L35" s="5" t="str">
        <f>IF(J35="","",IF(J35=0,0,$I35/$C35*Coeff!C$2/100))</f>
        <v/>
      </c>
      <c r="M35" s="5" t="str">
        <f>IF(K35="","",IF(K35=0,0,$I35/$C35*Coeff!D$2/100))</f>
        <v/>
      </c>
      <c r="N35" s="5" t="str">
        <f>IF(L35="","",IF(L35=0,0,$I35/$C35*Coeff!E$2/100))</f>
        <v/>
      </c>
      <c r="O35" s="5" t="str">
        <f>IF(M35="","",IF(M35=0,0,$I35/$C35*Coeff!F$2/100))</f>
        <v/>
      </c>
      <c r="P35" s="5" t="str">
        <f>IF(N35="","",IF(N35=0,0,$I35/$C35*Coeff!G$2/100))</f>
        <v/>
      </c>
      <c r="Q35" s="5" t="str">
        <f>IF(O35="","",IF(O35=0,0,$I35/$C35*Coeff!H$2/100))</f>
        <v/>
      </c>
      <c r="R35" s="5" t="str">
        <f>IF(P35="","",IF(P35=0,0,$I35/$C35*Coeff!I$2/100))</f>
        <v/>
      </c>
    </row>
    <row r="36" spans="1:18">
      <c r="A36" s="12" t="s">
        <v>80</v>
      </c>
      <c r="B36" s="12" t="s">
        <v>81</v>
      </c>
      <c r="C36" s="12">
        <v>2.5</v>
      </c>
      <c r="D36" s="12">
        <v>10</v>
      </c>
      <c r="E36" s="14">
        <f>Feuil1!J36</f>
        <v>152</v>
      </c>
      <c r="F36" s="8">
        <f>E36/C36</f>
        <v>60.8</v>
      </c>
      <c r="G36" s="12">
        <f>Feuil1!L36</f>
        <v>0</v>
      </c>
      <c r="H36" t="str">
        <f>IF(OR(G36="",G36=0,C36="",C36=0,D36="",D36=0),"",3*G36*C36/D36*Feuil1!$B$2/200+1)</f>
        <v/>
      </c>
      <c r="I36" t="str">
        <f t="shared" si="0"/>
        <v/>
      </c>
      <c r="J36" s="5" t="str">
        <f>IF(H36="","",IF(H36=0,0,$I36/$C36*Coeff!A$2/100))</f>
        <v/>
      </c>
      <c r="K36" s="5" t="str">
        <f>IF(I36="","",IF(I36=0,0,$I36/$C36*Coeff!B$2/100))</f>
        <v/>
      </c>
      <c r="L36" s="5" t="str">
        <f>IF(J36="","",IF(J36=0,0,$I36/$C36*Coeff!C$2/100))</f>
        <v/>
      </c>
      <c r="M36" s="5" t="str">
        <f>IF(K36="","",IF(K36=0,0,$I36/$C36*Coeff!D$2/100))</f>
        <v/>
      </c>
      <c r="N36" s="5" t="str">
        <f>IF(L36="","",IF(L36=0,0,$I36/$C36*Coeff!E$2/100))</f>
        <v/>
      </c>
      <c r="O36" s="5" t="str">
        <f>IF(M36="","",IF(M36=0,0,$I36/$C36*Coeff!F$2/100))</f>
        <v/>
      </c>
      <c r="P36" s="5" t="str">
        <f>IF(N36="","",IF(N36=0,0,$I36/$C36*Coeff!G$2/100))</f>
        <v/>
      </c>
      <c r="Q36" s="5" t="str">
        <f>IF(O36="","",IF(O36=0,0,$I36/$C36*Coeff!H$2/100))</f>
        <v/>
      </c>
      <c r="R36" s="5" t="str">
        <f>IF(P36="","",IF(P36=0,0,$I36/$C36*Coeff!I$2/100))</f>
        <v/>
      </c>
    </row>
    <row r="37" spans="1:18">
      <c r="A37" s="12" t="s">
        <v>82</v>
      </c>
      <c r="B37" s="12" t="s">
        <v>83</v>
      </c>
      <c r="C37" s="12">
        <v>3</v>
      </c>
      <c r="D37" s="12">
        <v>1</v>
      </c>
      <c r="E37" s="14">
        <f>Feuil1!J37</f>
        <v>413</v>
      </c>
      <c r="F37" s="8">
        <f>E37/C37</f>
        <v>137.66666666666666</v>
      </c>
      <c r="G37" s="12">
        <f>Feuil1!L37</f>
        <v>0</v>
      </c>
      <c r="H37" t="str">
        <f>IF(OR(G37="",G37=0,C37="",C37=0,D37="",D37=0),"",3*G37*C37/D37*Feuil1!$B$2/200+1)</f>
        <v/>
      </c>
      <c r="I37" t="str">
        <f t="shared" si="0"/>
        <v/>
      </c>
      <c r="J37" s="5" t="str">
        <f>IF(H37="","",IF(H37=0,0,$I37/$C37*Coeff!A$2/100))</f>
        <v/>
      </c>
      <c r="K37" s="5" t="str">
        <f>IF(I37="","",IF(I37=0,0,$I37/$C37*Coeff!B$2/100))</f>
        <v/>
      </c>
      <c r="L37" s="5" t="str">
        <f>IF(J37="","",IF(J37=0,0,$I37/$C37*Coeff!C$2/100))</f>
        <v/>
      </c>
      <c r="M37" s="5" t="str">
        <f>IF(K37="","",IF(K37=0,0,$I37/$C37*Coeff!D$2/100))</f>
        <v/>
      </c>
      <c r="N37" s="5" t="str">
        <f>IF(L37="","",IF(L37=0,0,$I37/$C37*Coeff!E$2/100))</f>
        <v/>
      </c>
      <c r="O37" s="5" t="str">
        <f>IF(M37="","",IF(M37=0,0,$I37/$C37*Coeff!F$2/100))</f>
        <v/>
      </c>
      <c r="P37" s="5" t="str">
        <f>IF(N37="","",IF(N37=0,0,$I37/$C37*Coeff!G$2/100))</f>
        <v/>
      </c>
      <c r="Q37" s="5" t="str">
        <f>IF(O37="","",IF(O37=0,0,$I37/$C37*Coeff!H$2/100))</f>
        <v/>
      </c>
      <c r="R37" s="5" t="str">
        <f>IF(P37="","",IF(P37=0,0,$I37/$C37*Coeff!I$2/100))</f>
        <v/>
      </c>
    </row>
    <row r="38" spans="1:18">
      <c r="A38" s="12" t="s">
        <v>84</v>
      </c>
      <c r="B38" s="12" t="s">
        <v>85</v>
      </c>
      <c r="C38" s="12">
        <v>2</v>
      </c>
      <c r="D38" s="12">
        <v>1</v>
      </c>
      <c r="E38" s="14">
        <f>Feuil1!J38</f>
        <v>241</v>
      </c>
      <c r="F38" s="8">
        <f>E38/C38</f>
        <v>120.5</v>
      </c>
      <c r="G38" s="12">
        <f>Feuil1!L38</f>
        <v>0</v>
      </c>
      <c r="H38" t="str">
        <f>IF(OR(G38="",G38=0,C38="",C38=0,D38="",D38=0),"",3*G38*C38/D38*Feuil1!$B$2/200+1)</f>
        <v/>
      </c>
      <c r="I38" t="str">
        <f t="shared" si="0"/>
        <v/>
      </c>
      <c r="J38" s="5" t="str">
        <f>IF(H38="","",IF(H38=0,0,$I38/$C38*Coeff!A$2/100))</f>
        <v/>
      </c>
      <c r="K38" s="5" t="str">
        <f>IF(I38="","",IF(I38=0,0,$I38/$C38*Coeff!B$2/100))</f>
        <v/>
      </c>
      <c r="L38" s="5" t="str">
        <f>IF(J38="","",IF(J38=0,0,$I38/$C38*Coeff!C$2/100))</f>
        <v/>
      </c>
      <c r="M38" s="5" t="str">
        <f>IF(K38="","",IF(K38=0,0,$I38/$C38*Coeff!D$2/100))</f>
        <v/>
      </c>
      <c r="N38" s="5" t="str">
        <f>IF(L38="","",IF(L38=0,0,$I38/$C38*Coeff!E$2/100))</f>
        <v/>
      </c>
      <c r="O38" s="5" t="str">
        <f>IF(M38="","",IF(M38=0,0,$I38/$C38*Coeff!F$2/100))</f>
        <v/>
      </c>
      <c r="P38" s="5" t="str">
        <f>IF(N38="","",IF(N38=0,0,$I38/$C38*Coeff!G$2/100))</f>
        <v/>
      </c>
      <c r="Q38" s="5" t="str">
        <f>IF(O38="","",IF(O38=0,0,$I38/$C38*Coeff!H$2/100))</f>
        <v/>
      </c>
      <c r="R38" s="5" t="str">
        <f>IF(P38="","",IF(P38=0,0,$I38/$C38*Coeff!I$2/100))</f>
        <v/>
      </c>
    </row>
    <row r="39" spans="1:18">
      <c r="A39" s="12" t="s">
        <v>86</v>
      </c>
      <c r="B39" s="12" t="s">
        <v>87</v>
      </c>
      <c r="C39" s="12">
        <v>2</v>
      </c>
      <c r="D39" s="12">
        <v>1</v>
      </c>
      <c r="E39" s="14">
        <f>Feuil1!J39</f>
        <v>97</v>
      </c>
      <c r="F39" s="8">
        <f>E39/C39</f>
        <v>48.5</v>
      </c>
      <c r="G39" s="12">
        <f>Feuil1!L39</f>
        <v>0</v>
      </c>
      <c r="H39" t="str">
        <f>IF(OR(G39="",G39=0,C39="",C39=0,D39="",D39=0),"",3*G39*C39/D39*Feuil1!$B$2/200+1)</f>
        <v/>
      </c>
      <c r="I39" t="str">
        <f t="shared" si="0"/>
        <v/>
      </c>
      <c r="J39" s="5" t="str">
        <f>IF(H39="","",IF(H39=0,0,$I39/$C39*Coeff!A$2/100))</f>
        <v/>
      </c>
      <c r="K39" s="5" t="str">
        <f>IF(I39="","",IF(I39=0,0,$I39/$C39*Coeff!B$2/100))</f>
        <v/>
      </c>
      <c r="L39" s="5" t="str">
        <f>IF(J39="","",IF(J39=0,0,$I39/$C39*Coeff!C$2/100))</f>
        <v/>
      </c>
      <c r="M39" s="5" t="str">
        <f>IF(K39="","",IF(K39=0,0,$I39/$C39*Coeff!D$2/100))</f>
        <v/>
      </c>
      <c r="N39" s="5" t="str">
        <f>IF(L39="","",IF(L39=0,0,$I39/$C39*Coeff!E$2/100))</f>
        <v/>
      </c>
      <c r="O39" s="5" t="str">
        <f>IF(M39="","",IF(M39=0,0,$I39/$C39*Coeff!F$2/100))</f>
        <v/>
      </c>
      <c r="P39" s="5" t="str">
        <f>IF(N39="","",IF(N39=0,0,$I39/$C39*Coeff!G$2/100))</f>
        <v/>
      </c>
      <c r="Q39" s="5" t="str">
        <f>IF(O39="","",IF(O39=0,0,$I39/$C39*Coeff!H$2/100))</f>
        <v/>
      </c>
      <c r="R39" s="5" t="str">
        <f>IF(P39="","",IF(P39=0,0,$I39/$C39*Coeff!I$2/100))</f>
        <v/>
      </c>
    </row>
    <row r="40" spans="1:18">
      <c r="A40" s="12" t="s">
        <v>88</v>
      </c>
      <c r="B40" s="12" t="s">
        <v>89</v>
      </c>
      <c r="C40" s="12">
        <v>2</v>
      </c>
      <c r="D40" s="12">
        <v>1</v>
      </c>
      <c r="E40" s="14">
        <f>Feuil1!J40</f>
        <v>328</v>
      </c>
      <c r="F40" s="8">
        <f>E40/C40</f>
        <v>164</v>
      </c>
      <c r="G40" s="12">
        <f>Feuil1!L40</f>
        <v>0</v>
      </c>
      <c r="H40" t="str">
        <f>IF(OR(G40="",G40=0,C40="",C40=0,D40="",D40=0),"",3*G40*C40/D40*Feuil1!$B$2/200+1)</f>
        <v/>
      </c>
      <c r="I40" t="str">
        <f t="shared" si="0"/>
        <v/>
      </c>
      <c r="J40" s="5" t="str">
        <f>IF(H40="","",IF(H40=0,0,$I40/$C40*Coeff!A$2/100))</f>
        <v/>
      </c>
      <c r="K40" s="5" t="str">
        <f>IF(I40="","",IF(I40=0,0,$I40/$C40*Coeff!B$2/100))</f>
        <v/>
      </c>
      <c r="L40" s="5" t="str">
        <f>IF(J40="","",IF(J40=0,0,$I40/$C40*Coeff!C$2/100))</f>
        <v/>
      </c>
      <c r="M40" s="5" t="str">
        <f>IF(K40="","",IF(K40=0,0,$I40/$C40*Coeff!D$2/100))</f>
        <v/>
      </c>
      <c r="N40" s="5" t="str">
        <f>IF(L40="","",IF(L40=0,0,$I40/$C40*Coeff!E$2/100))</f>
        <v/>
      </c>
      <c r="O40" s="5" t="str">
        <f>IF(M40="","",IF(M40=0,0,$I40/$C40*Coeff!F$2/100))</f>
        <v/>
      </c>
      <c r="P40" s="5" t="str">
        <f>IF(N40="","",IF(N40=0,0,$I40/$C40*Coeff!G$2/100))</f>
        <v/>
      </c>
      <c r="Q40" s="5" t="str">
        <f>IF(O40="","",IF(O40=0,0,$I40/$C40*Coeff!H$2/100))</f>
        <v/>
      </c>
      <c r="R40" s="5" t="str">
        <f>IF(P40="","",IF(P40=0,0,$I40/$C40*Coeff!I$2/100))</f>
        <v/>
      </c>
    </row>
    <row r="41" spans="1:18">
      <c r="A41" s="12" t="s">
        <v>90</v>
      </c>
      <c r="B41" s="12" t="s">
        <v>91</v>
      </c>
      <c r="C41" s="12">
        <v>2</v>
      </c>
      <c r="D41" s="12">
        <v>1</v>
      </c>
      <c r="E41" s="14">
        <f>Feuil1!J41</f>
        <v>334</v>
      </c>
      <c r="F41" s="8">
        <f>E41/C41</f>
        <v>167</v>
      </c>
      <c r="G41" s="12">
        <f>Feuil1!L41</f>
        <v>0</v>
      </c>
      <c r="H41" t="str">
        <f>IF(OR(G41="",G41=0,C41="",C41=0,D41="",D41=0),"",3*G41*C41/D41*Feuil1!$B$2/200+1)</f>
        <v/>
      </c>
      <c r="I41" t="str">
        <f t="shared" si="0"/>
        <v/>
      </c>
      <c r="J41" s="5" t="str">
        <f>IF(H41="","",IF(H41=0,0,$I41/$C41*Coeff!A$2/100))</f>
        <v/>
      </c>
      <c r="K41" s="5" t="str">
        <f>IF(I41="","",IF(I41=0,0,$I41/$C41*Coeff!B$2/100))</f>
        <v/>
      </c>
      <c r="L41" s="5" t="str">
        <f>IF(J41="","",IF(J41=0,0,$I41/$C41*Coeff!C$2/100))</f>
        <v/>
      </c>
      <c r="M41" s="5" t="str">
        <f>IF(K41="","",IF(K41=0,0,$I41/$C41*Coeff!D$2/100))</f>
        <v/>
      </c>
      <c r="N41" s="5" t="str">
        <f>IF(L41="","",IF(L41=0,0,$I41/$C41*Coeff!E$2/100))</f>
        <v/>
      </c>
      <c r="O41" s="5" t="str">
        <f>IF(M41="","",IF(M41=0,0,$I41/$C41*Coeff!F$2/100))</f>
        <v/>
      </c>
      <c r="P41" s="5" t="str">
        <f>IF(N41="","",IF(N41=0,0,$I41/$C41*Coeff!G$2/100))</f>
        <v/>
      </c>
      <c r="Q41" s="5" t="str">
        <f>IF(O41="","",IF(O41=0,0,$I41/$C41*Coeff!H$2/100))</f>
        <v/>
      </c>
      <c r="R41" s="5" t="str">
        <f>IF(P41="","",IF(P41=0,0,$I41/$C41*Coeff!I$2/100))</f>
        <v/>
      </c>
    </row>
    <row r="42" spans="1:18">
      <c r="A42" s="12" t="s">
        <v>92</v>
      </c>
      <c r="B42" s="12" t="s">
        <v>93</v>
      </c>
      <c r="C42" s="12">
        <v>2</v>
      </c>
      <c r="D42" s="12">
        <v>1</v>
      </c>
      <c r="E42" s="14">
        <f>Feuil1!J42</f>
        <v>184</v>
      </c>
      <c r="F42" s="8">
        <f>E42/C42</f>
        <v>92</v>
      </c>
      <c r="G42" s="12">
        <f>Feuil1!L42</f>
        <v>0</v>
      </c>
      <c r="H42" t="str">
        <f>IF(OR(G42="",G42=0,C42="",C42=0,D42="",D42=0),"",3*G42*C42/D42*Feuil1!$B$2/200+1)</f>
        <v/>
      </c>
      <c r="I42" t="str">
        <f t="shared" si="0"/>
        <v/>
      </c>
      <c r="J42" s="5" t="str">
        <f>IF(H42="","",IF(H42=0,0,$I42/$C42*Coeff!A$2/100))</f>
        <v/>
      </c>
      <c r="K42" s="5" t="str">
        <f>IF(I42="","",IF(I42=0,0,$I42/$C42*Coeff!B$2/100))</f>
        <v/>
      </c>
      <c r="L42" s="5" t="str">
        <f>IF(J42="","",IF(J42=0,0,$I42/$C42*Coeff!C$2/100))</f>
        <v/>
      </c>
      <c r="M42" s="5" t="str">
        <f>IF(K42="","",IF(K42=0,0,$I42/$C42*Coeff!D$2/100))</f>
        <v/>
      </c>
      <c r="N42" s="5" t="str">
        <f>IF(L42="","",IF(L42=0,0,$I42/$C42*Coeff!E$2/100))</f>
        <v/>
      </c>
      <c r="O42" s="5" t="str">
        <f>IF(M42="","",IF(M42=0,0,$I42/$C42*Coeff!F$2/100))</f>
        <v/>
      </c>
      <c r="P42" s="5" t="str">
        <f>IF(N42="","",IF(N42=0,0,$I42/$C42*Coeff!G$2/100))</f>
        <v/>
      </c>
      <c r="Q42" s="5" t="str">
        <f>IF(O42="","",IF(O42=0,0,$I42/$C42*Coeff!H$2/100))</f>
        <v/>
      </c>
      <c r="R42" s="5" t="str">
        <f>IF(P42="","",IF(P42=0,0,$I42/$C42*Coeff!I$2/100))</f>
        <v/>
      </c>
    </row>
    <row r="43" spans="1:18">
      <c r="A43" s="12" t="s">
        <v>94</v>
      </c>
      <c r="B43" s="12" t="s">
        <v>95</v>
      </c>
      <c r="C43" s="12">
        <v>2</v>
      </c>
      <c r="D43" s="12">
        <v>1</v>
      </c>
      <c r="E43" s="14">
        <f>Feuil1!J43</f>
        <v>95</v>
      </c>
      <c r="F43" s="8">
        <f>E43/C43</f>
        <v>47.5</v>
      </c>
      <c r="G43" s="12">
        <f>Feuil1!L43</f>
        <v>0</v>
      </c>
      <c r="H43" t="str">
        <f>IF(OR(G43="",G43=0,C43="",C43=0,D43="",D43=0),"",3*G43*C43/D43*Feuil1!$B$2/200+1)</f>
        <v/>
      </c>
      <c r="I43" t="str">
        <f t="shared" si="0"/>
        <v/>
      </c>
      <c r="J43" s="5" t="str">
        <f>IF(H43="","",IF(H43=0,0,$I43/$C43*Coeff!A$2/100))</f>
        <v/>
      </c>
      <c r="K43" s="5" t="str">
        <f>IF(I43="","",IF(I43=0,0,$I43/$C43*Coeff!B$2/100))</f>
        <v/>
      </c>
      <c r="L43" s="5" t="str">
        <f>IF(J43="","",IF(J43=0,0,$I43/$C43*Coeff!C$2/100))</f>
        <v/>
      </c>
      <c r="M43" s="5" t="str">
        <f>IF(K43="","",IF(K43=0,0,$I43/$C43*Coeff!D$2/100))</f>
        <v/>
      </c>
      <c r="N43" s="5" t="str">
        <f>IF(L43="","",IF(L43=0,0,$I43/$C43*Coeff!E$2/100))</f>
        <v/>
      </c>
      <c r="O43" s="5" t="str">
        <f>IF(M43="","",IF(M43=0,0,$I43/$C43*Coeff!F$2/100))</f>
        <v/>
      </c>
      <c r="P43" s="5" t="str">
        <f>IF(N43="","",IF(N43=0,0,$I43/$C43*Coeff!G$2/100))</f>
        <v/>
      </c>
      <c r="Q43" s="5" t="str">
        <f>IF(O43="","",IF(O43=0,0,$I43/$C43*Coeff!H$2/100))</f>
        <v/>
      </c>
      <c r="R43" s="5" t="str">
        <f>IF(P43="","",IF(P43=0,0,$I43/$C43*Coeff!I$2/100))</f>
        <v/>
      </c>
    </row>
    <row r="44" spans="1:18">
      <c r="A44" s="12" t="s">
        <v>96</v>
      </c>
      <c r="B44" s="12" t="s">
        <v>97</v>
      </c>
      <c r="C44" s="12">
        <v>2</v>
      </c>
      <c r="D44" s="12">
        <v>1</v>
      </c>
      <c r="E44" s="14">
        <f>Feuil1!J44</f>
        <v>284</v>
      </c>
      <c r="F44" s="8">
        <f>E44/C44</f>
        <v>142</v>
      </c>
      <c r="G44" s="12">
        <f>Feuil1!L44</f>
        <v>0</v>
      </c>
      <c r="H44" t="str">
        <f>IF(OR(G44="",G44=0,C44="",C44=0,D44="",D44=0),"",3*G44*C44/D44*Feuil1!$B$2/200+1)</f>
        <v/>
      </c>
      <c r="I44" t="str">
        <f t="shared" si="0"/>
        <v/>
      </c>
      <c r="J44" s="5" t="str">
        <f>IF(H44="","",IF(H44=0,0,$I44/$C44*Coeff!A$2/100))</f>
        <v/>
      </c>
      <c r="K44" s="5" t="str">
        <f>IF(I44="","",IF(I44=0,0,$I44/$C44*Coeff!B$2/100))</f>
        <v/>
      </c>
      <c r="L44" s="5" t="str">
        <f>IF(J44="","",IF(J44=0,0,$I44/$C44*Coeff!C$2/100))</f>
        <v/>
      </c>
      <c r="M44" s="5" t="str">
        <f>IF(K44="","",IF(K44=0,0,$I44/$C44*Coeff!D$2/100))</f>
        <v/>
      </c>
      <c r="N44" s="5" t="str">
        <f>IF(L44="","",IF(L44=0,0,$I44/$C44*Coeff!E$2/100))</f>
        <v/>
      </c>
      <c r="O44" s="5" t="str">
        <f>IF(M44="","",IF(M44=0,0,$I44/$C44*Coeff!F$2/100))</f>
        <v/>
      </c>
      <c r="P44" s="5" t="str">
        <f>IF(N44="","",IF(N44=0,0,$I44/$C44*Coeff!G$2/100))</f>
        <v/>
      </c>
      <c r="Q44" s="5" t="str">
        <f>IF(O44="","",IF(O44=0,0,$I44/$C44*Coeff!H$2/100))</f>
        <v/>
      </c>
      <c r="R44" s="5" t="str">
        <f>IF(P44="","",IF(P44=0,0,$I44/$C44*Coeff!I$2/100))</f>
        <v/>
      </c>
    </row>
    <row r="45" spans="1:18">
      <c r="A45" s="12" t="s">
        <v>98</v>
      </c>
      <c r="B45" s="12" t="s">
        <v>99</v>
      </c>
      <c r="C45" s="12">
        <v>2</v>
      </c>
      <c r="D45" s="12">
        <v>1</v>
      </c>
      <c r="E45" s="14">
        <f>Feuil1!J45</f>
        <v>424</v>
      </c>
      <c r="F45" s="8">
        <f>E45/C45</f>
        <v>212</v>
      </c>
      <c r="G45" s="12">
        <f>Feuil1!L45</f>
        <v>0</v>
      </c>
      <c r="H45" t="str">
        <f>IF(OR(G45="",G45=0,C45="",C45=0,D45="",D45=0),"",3*G45*C45/D45*Feuil1!$B$2/200+1)</f>
        <v/>
      </c>
      <c r="I45" t="str">
        <f t="shared" si="0"/>
        <v/>
      </c>
      <c r="J45" s="5" t="str">
        <f>IF(H45="","",IF(H45=0,0,$I45/$C45*Coeff!A$2/100))</f>
        <v/>
      </c>
      <c r="K45" s="5" t="str">
        <f>IF(I45="","",IF(I45=0,0,$I45/$C45*Coeff!B$2/100))</f>
        <v/>
      </c>
      <c r="L45" s="5" t="str">
        <f>IF(J45="","",IF(J45=0,0,$I45/$C45*Coeff!C$2/100))</f>
        <v/>
      </c>
      <c r="M45" s="5" t="str">
        <f>IF(K45="","",IF(K45=0,0,$I45/$C45*Coeff!D$2/100))</f>
        <v/>
      </c>
      <c r="N45" s="5" t="str">
        <f>IF(L45="","",IF(L45=0,0,$I45/$C45*Coeff!E$2/100))</f>
        <v/>
      </c>
      <c r="O45" s="5" t="str">
        <f>IF(M45="","",IF(M45=0,0,$I45/$C45*Coeff!F$2/100))</f>
        <v/>
      </c>
      <c r="P45" s="5" t="str">
        <f>IF(N45="","",IF(N45=0,0,$I45/$C45*Coeff!G$2/100))</f>
        <v/>
      </c>
      <c r="Q45" s="5" t="str">
        <f>IF(O45="","",IF(O45=0,0,$I45/$C45*Coeff!H$2/100))</f>
        <v/>
      </c>
      <c r="R45" s="5" t="str">
        <f>IF(P45="","",IF(P45=0,0,$I45/$C45*Coeff!I$2/100))</f>
        <v/>
      </c>
    </row>
    <row r="46" spans="1:18">
      <c r="A46" s="12" t="s">
        <v>100</v>
      </c>
      <c r="B46" s="12" t="s">
        <v>101</v>
      </c>
      <c r="C46" s="12">
        <v>7</v>
      </c>
      <c r="D46" s="12">
        <v>1</v>
      </c>
      <c r="E46" s="14">
        <f>Feuil1!J46</f>
        <v>358</v>
      </c>
      <c r="F46" s="8">
        <f>E46/C46</f>
        <v>51.142857142857146</v>
      </c>
      <c r="G46" s="12">
        <f>Feuil1!L46</f>
        <v>0</v>
      </c>
      <c r="H46" t="str">
        <f>IF(OR(G46="",G46=0,C46="",C46=0,D46="",D46=0),"",3*G46*C46/D46*Feuil1!$B$2/200+1)</f>
        <v/>
      </c>
      <c r="I46" t="str">
        <f t="shared" si="0"/>
        <v/>
      </c>
      <c r="J46" s="5" t="str">
        <f>IF(H46="","",IF(H46=0,0,$I46/$C46*Coeff!A$2/100))</f>
        <v/>
      </c>
      <c r="K46" s="5" t="str">
        <f>IF(I46="","",IF(I46=0,0,$I46/$C46*Coeff!B$2/100))</f>
        <v/>
      </c>
      <c r="L46" s="5" t="str">
        <f>IF(J46="","",IF(J46=0,0,$I46/$C46*Coeff!C$2/100))</f>
        <v/>
      </c>
      <c r="M46" s="5" t="str">
        <f>IF(K46="","",IF(K46=0,0,$I46/$C46*Coeff!D$2/100))</f>
        <v/>
      </c>
      <c r="N46" s="5" t="str">
        <f>IF(L46="","",IF(L46=0,0,$I46/$C46*Coeff!E$2/100))</f>
        <v/>
      </c>
      <c r="O46" s="5" t="str">
        <f>IF(M46="","",IF(M46=0,0,$I46/$C46*Coeff!F$2/100))</f>
        <v/>
      </c>
      <c r="P46" s="5" t="str">
        <f>IF(N46="","",IF(N46=0,0,$I46/$C46*Coeff!G$2/100))</f>
        <v/>
      </c>
      <c r="Q46" s="5" t="str">
        <f>IF(O46="","",IF(O46=0,0,$I46/$C46*Coeff!H$2/100))</f>
        <v/>
      </c>
      <c r="R46" s="5" t="str">
        <f>IF(P46="","",IF(P46=0,0,$I46/$C46*Coeff!I$2/100))</f>
        <v/>
      </c>
    </row>
    <row r="47" spans="1:18">
      <c r="A47" s="12" t="s">
        <v>102</v>
      </c>
      <c r="B47" s="12" t="s">
        <v>103</v>
      </c>
      <c r="C47" s="12">
        <v>7</v>
      </c>
      <c r="D47" s="12">
        <v>1</v>
      </c>
      <c r="E47" s="14">
        <f>Feuil1!J47</f>
        <v>330</v>
      </c>
      <c r="F47" s="8">
        <f>E47/C47</f>
        <v>47.142857142857146</v>
      </c>
      <c r="G47" s="12">
        <f>Feuil1!L47</f>
        <v>0</v>
      </c>
      <c r="H47" t="str">
        <f>IF(OR(G47="",G47=0,C47="",C47=0,D47="",D47=0),"",3*G47*C47/D47*Feuil1!$B$2/200+1)</f>
        <v/>
      </c>
      <c r="I47" t="str">
        <f t="shared" si="0"/>
        <v/>
      </c>
      <c r="J47" s="5" t="str">
        <f>IF(H47="","",IF(H47=0,0,$I47/$C47*Coeff!A$2/100))</f>
        <v/>
      </c>
      <c r="K47" s="5" t="str">
        <f>IF(I47="","",IF(I47=0,0,$I47/$C47*Coeff!B$2/100))</f>
        <v/>
      </c>
      <c r="L47" s="5" t="str">
        <f>IF(J47="","",IF(J47=0,0,$I47/$C47*Coeff!C$2/100))</f>
        <v/>
      </c>
      <c r="M47" s="5" t="str">
        <f>IF(K47="","",IF(K47=0,0,$I47/$C47*Coeff!D$2/100))</f>
        <v/>
      </c>
      <c r="N47" s="5" t="str">
        <f>IF(L47="","",IF(L47=0,0,$I47/$C47*Coeff!E$2/100))</f>
        <v/>
      </c>
      <c r="O47" s="5" t="str">
        <f>IF(M47="","",IF(M47=0,0,$I47/$C47*Coeff!F$2/100))</f>
        <v/>
      </c>
      <c r="P47" s="5" t="str">
        <f>IF(N47="","",IF(N47=0,0,$I47/$C47*Coeff!G$2/100))</f>
        <v/>
      </c>
      <c r="Q47" s="5" t="str">
        <f>IF(O47="","",IF(O47=0,0,$I47/$C47*Coeff!H$2/100))</f>
        <v/>
      </c>
      <c r="R47" s="5" t="str">
        <f>IF(P47="","",IF(P47=0,0,$I47/$C47*Coeff!I$2/100))</f>
        <v/>
      </c>
    </row>
    <row r="48" spans="1:18">
      <c r="A48" s="13" t="s">
        <v>104</v>
      </c>
      <c r="B48" s="12" t="s">
        <v>105</v>
      </c>
      <c r="C48" s="12">
        <v>3</v>
      </c>
      <c r="D48" s="12">
        <v>1</v>
      </c>
      <c r="E48" s="14">
        <f>Feuil1!J48</f>
        <v>269</v>
      </c>
      <c r="F48" s="8">
        <f>E48/C48</f>
        <v>89.666666666666671</v>
      </c>
      <c r="G48" s="12">
        <f>Feuil1!L48</f>
        <v>0</v>
      </c>
      <c r="H48" t="str">
        <f>IF(OR(G48="",G48=0,C48="",C48=0,D48="",D48=0),"",3*G48*C48/D48*Feuil1!$B$2/200+1)</f>
        <v/>
      </c>
      <c r="I48" t="str">
        <f t="shared" si="0"/>
        <v/>
      </c>
      <c r="J48" s="5" t="str">
        <f>IF(H48="","",IF(H48=0,0,$I48/$C48*Coeff!A$2/100))</f>
        <v/>
      </c>
      <c r="K48" s="5" t="str">
        <f>IF(I48="","",IF(I48=0,0,$I48/$C48*Coeff!B$2/100))</f>
        <v/>
      </c>
      <c r="L48" s="5" t="str">
        <f>IF(J48="","",IF(J48=0,0,$I48/$C48*Coeff!C$2/100))</f>
        <v/>
      </c>
      <c r="M48" s="5" t="str">
        <f>IF(K48="","",IF(K48=0,0,$I48/$C48*Coeff!D$2/100))</f>
        <v/>
      </c>
      <c r="N48" s="5" t="str">
        <f>IF(L48="","",IF(L48=0,0,$I48/$C48*Coeff!E$2/100))</f>
        <v/>
      </c>
      <c r="O48" s="5" t="str">
        <f>IF(M48="","",IF(M48=0,0,$I48/$C48*Coeff!F$2/100))</f>
        <v/>
      </c>
      <c r="P48" s="5" t="str">
        <f>IF(N48="","",IF(N48=0,0,$I48/$C48*Coeff!G$2/100))</f>
        <v/>
      </c>
      <c r="Q48" s="5" t="str">
        <f>IF(O48="","",IF(O48=0,0,$I48/$C48*Coeff!H$2/100))</f>
        <v/>
      </c>
      <c r="R48" s="5" t="str">
        <f>IF(P48="","",IF(P48=0,0,$I48/$C48*Coeff!I$2/100))</f>
        <v/>
      </c>
    </row>
    <row r="49" spans="1:18">
      <c r="A49" s="12" t="s">
        <v>106</v>
      </c>
      <c r="B49" s="12" t="s">
        <v>107</v>
      </c>
      <c r="C49" s="12">
        <v>10</v>
      </c>
      <c r="D49" s="12">
        <v>1</v>
      </c>
      <c r="E49" s="14">
        <f>Feuil1!J49</f>
        <v>391</v>
      </c>
      <c r="F49" s="8">
        <f>E49/C49</f>
        <v>39.1</v>
      </c>
      <c r="G49" s="12">
        <f>Feuil1!L49</f>
        <v>0</v>
      </c>
      <c r="H49" t="str">
        <f>IF(OR(G49="",G49=0,C49="",C49=0,D49="",D49=0),"",3*G49*C49/D49*Feuil1!$B$2/200+1)</f>
        <v/>
      </c>
      <c r="I49" t="str">
        <f t="shared" si="0"/>
        <v/>
      </c>
      <c r="J49" s="5" t="str">
        <f>IF(H49="","",IF(H49=0,0,$I49/$C49*Coeff!A$2/100))</f>
        <v/>
      </c>
      <c r="K49" s="5" t="str">
        <f>IF(I49="","",IF(I49=0,0,$I49/$C49*Coeff!B$2/100))</f>
        <v/>
      </c>
      <c r="L49" s="5" t="str">
        <f>IF(J49="","",IF(J49=0,0,$I49/$C49*Coeff!C$2/100))</f>
        <v/>
      </c>
      <c r="M49" s="5" t="str">
        <f>IF(K49="","",IF(K49=0,0,$I49/$C49*Coeff!D$2/100))</f>
        <v/>
      </c>
      <c r="N49" s="5" t="str">
        <f>IF(L49="","",IF(L49=0,0,$I49/$C49*Coeff!E$2/100))</f>
        <v/>
      </c>
      <c r="O49" s="5" t="str">
        <f>IF(M49="","",IF(M49=0,0,$I49/$C49*Coeff!F$2/100))</f>
        <v/>
      </c>
      <c r="P49" s="5" t="str">
        <f>IF(N49="","",IF(N49=0,0,$I49/$C49*Coeff!G$2/100))</f>
        <v/>
      </c>
      <c r="Q49" s="5" t="str">
        <f>IF(O49="","",IF(O49=0,0,$I49/$C49*Coeff!H$2/100))</f>
        <v/>
      </c>
      <c r="R49" s="5" t="str">
        <f>IF(P49="","",IF(P49=0,0,$I49/$C49*Coeff!I$2/100))</f>
        <v/>
      </c>
    </row>
    <row r="50" spans="1:18">
      <c r="A50" s="12" t="s">
        <v>108</v>
      </c>
      <c r="B50" s="12" t="s">
        <v>109</v>
      </c>
      <c r="C50" s="12">
        <v>4</v>
      </c>
      <c r="D50" s="12">
        <v>1</v>
      </c>
      <c r="E50" s="14">
        <f>Feuil1!J50</f>
        <v>877</v>
      </c>
      <c r="F50" s="8">
        <f>E50/C50</f>
        <v>219.25</v>
      </c>
      <c r="G50" s="12">
        <f>Feuil1!L50</f>
        <v>0</v>
      </c>
      <c r="H50" t="str">
        <f>IF(OR(G50="",G50=0,C50="",C50=0,D50="",D50=0),"",3*G50*C50/D50*Feuil1!$B$2/200+1)</f>
        <v/>
      </c>
      <c r="I50" t="str">
        <f t="shared" si="0"/>
        <v/>
      </c>
      <c r="J50" s="5" t="str">
        <f>IF(H50="","",IF(H50=0,0,$I50/$C50*Coeff!A$2/100))</f>
        <v/>
      </c>
      <c r="K50" s="5" t="str">
        <f>IF(I50="","",IF(I50=0,0,$I50/$C50*Coeff!B$2/100))</f>
        <v/>
      </c>
      <c r="L50" s="5" t="str">
        <f>IF(J50="","",IF(J50=0,0,$I50/$C50*Coeff!C$2/100))</f>
        <v/>
      </c>
      <c r="M50" s="5" t="str">
        <f>IF(K50="","",IF(K50=0,0,$I50/$C50*Coeff!D$2/100))</f>
        <v/>
      </c>
      <c r="N50" s="5" t="str">
        <f>IF(L50="","",IF(L50=0,0,$I50/$C50*Coeff!E$2/100))</f>
        <v/>
      </c>
      <c r="O50" s="5" t="str">
        <f>IF(M50="","",IF(M50=0,0,$I50/$C50*Coeff!F$2/100))</f>
        <v/>
      </c>
      <c r="P50" s="5" t="str">
        <f>IF(N50="","",IF(N50=0,0,$I50/$C50*Coeff!G$2/100))</f>
        <v/>
      </c>
      <c r="Q50" s="5" t="str">
        <f>IF(O50="","",IF(O50=0,0,$I50/$C50*Coeff!H$2/100))</f>
        <v/>
      </c>
      <c r="R50" s="5" t="str">
        <f>IF(P50="","",IF(P50=0,0,$I50/$C50*Coeff!I$2/100))</f>
        <v/>
      </c>
    </row>
    <row r="51" spans="1:18">
      <c r="A51" s="12" t="s">
        <v>110</v>
      </c>
      <c r="B51" s="12" t="s">
        <v>111</v>
      </c>
      <c r="C51" s="12">
        <v>1</v>
      </c>
      <c r="D51" s="12">
        <v>5</v>
      </c>
      <c r="E51" s="14">
        <f>Feuil1!J51</f>
        <v>183</v>
      </c>
      <c r="F51" s="8">
        <f>E51/C51</f>
        <v>183</v>
      </c>
      <c r="G51" s="12">
        <f>Feuil1!L51</f>
        <v>0</v>
      </c>
      <c r="H51" t="str">
        <f>IF(OR(G51="",G51=0,C51="",C51=0,D51="",D51=0),"",3*G51*C51/D51*Feuil1!$B$2/200+1)</f>
        <v/>
      </c>
      <c r="I51" t="str">
        <f t="shared" si="0"/>
        <v/>
      </c>
      <c r="J51" s="5" t="str">
        <f>IF(H51="","",IF(H51=0,0,$I51/$C51*Coeff!A$2/100))</f>
        <v/>
      </c>
      <c r="K51" s="5" t="str">
        <f>IF(I51="","",IF(I51=0,0,$I51/$C51*Coeff!B$2/100))</f>
        <v/>
      </c>
      <c r="L51" s="5" t="str">
        <f>IF(J51="","",IF(J51=0,0,$I51/$C51*Coeff!C$2/100))</f>
        <v/>
      </c>
      <c r="M51" s="5" t="str">
        <f>IF(K51="","",IF(K51=0,0,$I51/$C51*Coeff!D$2/100))</f>
        <v/>
      </c>
      <c r="N51" s="5" t="str">
        <f>IF(L51="","",IF(L51=0,0,$I51/$C51*Coeff!E$2/100))</f>
        <v/>
      </c>
      <c r="O51" s="5" t="str">
        <f>IF(M51="","",IF(M51=0,0,$I51/$C51*Coeff!F$2/100))</f>
        <v/>
      </c>
      <c r="P51" s="5" t="str">
        <f>IF(N51="","",IF(N51=0,0,$I51/$C51*Coeff!G$2/100))</f>
        <v/>
      </c>
      <c r="Q51" s="5" t="str">
        <f>IF(O51="","",IF(O51=0,0,$I51/$C51*Coeff!H$2/100))</f>
        <v/>
      </c>
      <c r="R51" s="5" t="str">
        <f>IF(P51="","",IF(P51=0,0,$I51/$C51*Coeff!I$2/100))</f>
        <v/>
      </c>
    </row>
  </sheetData>
  <conditionalFormatting sqref="J2:R5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1BF1-042B-4B5C-A08A-79C032BA6F3C}">
  <dimension ref="A1:R51"/>
  <sheetViews>
    <sheetView topLeftCell="A18" workbookViewId="0">
      <selection activeCell="K50" sqref="K50"/>
    </sheetView>
  </sheetViews>
  <sheetFormatPr defaultRowHeight="15"/>
  <cols>
    <col min="1" max="1" width="21.7109375" bestFit="1" customWidth="1"/>
    <col min="2" max="2" width="13.42578125" bestFit="1" customWidth="1"/>
    <col min="3" max="3" width="10.85546875" bestFit="1" customWidth="1"/>
    <col min="4" max="4" width="12.5703125" bestFit="1" customWidth="1"/>
    <col min="5" max="5" width="9.42578125" bestFit="1" customWidth="1"/>
    <col min="6" max="6" width="16.42578125" bestFit="1" customWidth="1"/>
    <col min="7" max="7" width="15.7109375" bestFit="1" customWidth="1"/>
    <col min="8" max="8" width="10.5703125" bestFit="1" customWidth="1"/>
    <col min="9" max="9" width="11" bestFit="1" customWidth="1"/>
    <col min="10" max="10" width="29.85546875" bestFit="1" customWidth="1"/>
    <col min="11" max="11" width="28.5703125" bestFit="1" customWidth="1"/>
    <col min="12" max="17" width="31.42578125" bestFit="1" customWidth="1"/>
  </cols>
  <sheetData>
    <row r="1" spans="1:18">
      <c r="A1" s="12" t="s">
        <v>3</v>
      </c>
      <c r="B1" s="12" t="s">
        <v>4</v>
      </c>
      <c r="C1" s="12" t="s">
        <v>5</v>
      </c>
      <c r="D1" s="12" t="s">
        <v>6</v>
      </c>
      <c r="E1" s="12" t="s">
        <v>7</v>
      </c>
      <c r="F1" t="s">
        <v>8</v>
      </c>
      <c r="G1" s="12" t="s">
        <v>9</v>
      </c>
      <c r="H1" t="s">
        <v>120</v>
      </c>
      <c r="I1" t="s">
        <v>121</v>
      </c>
      <c r="J1" t="str">
        <f>"Valeur rune a " &amp; TEXT(Coeff!A2,"0,00") &amp; "%"</f>
        <v>Valeur rune a 100,00%</v>
      </c>
      <c r="K1" t="str">
        <f>"Valeur rune a " &amp; TEXT(Coeff!B2,"0,00") &amp; "%"</f>
        <v>Valeur rune a 14,00%</v>
      </c>
      <c r="L1" t="str">
        <f>"Valeur rune a " &amp; TEXT(Coeff!C2,"0,00") &amp; "%"</f>
        <v>Valeur rune a 13,99%</v>
      </c>
      <c r="M1" t="str">
        <f>"Valeur rune a " &amp; TEXT(Coeff!D2,"0,00") &amp; "%"</f>
        <v>Valeur rune a 13,99%</v>
      </c>
      <c r="N1" t="str">
        <f>"Valeur rune a " &amp; TEXT(Coeff!E2,"0,00") &amp; "%"</f>
        <v>Valeur rune a 13,98%</v>
      </c>
      <c r="O1" t="str">
        <f>"Valeur rune a " &amp; TEXT(Coeff!F2,"0,00") &amp; "%"</f>
        <v>Valeur rune a 13,95%</v>
      </c>
      <c r="P1" t="str">
        <f>"Valeur rune a " &amp; TEXT(Coeff!G2,"0,00") &amp; "%"</f>
        <v>Valeur rune a 13,50%</v>
      </c>
      <c r="Q1" t="str">
        <f>"Valeur rune a " &amp; TEXT(Coeff!H2,"0,00") &amp; "%"</f>
        <v>Valeur rune a 10,23%</v>
      </c>
      <c r="R1" t="str">
        <f>"Valeur rune a " &amp; TEXT(Coeff!I2,"0,00") &amp; "%"</f>
        <v>Valeur rune a 13,50%</v>
      </c>
    </row>
    <row r="2" spans="1:18">
      <c r="A2" s="12" t="s">
        <v>10</v>
      </c>
      <c r="B2" s="12" t="s">
        <v>11</v>
      </c>
      <c r="C2" s="12">
        <v>15</v>
      </c>
      <c r="D2" s="12">
        <v>1</v>
      </c>
      <c r="E2" s="14">
        <f>Feuil1!J2</f>
        <v>27934</v>
      </c>
      <c r="F2" s="8">
        <f>E2/C2</f>
        <v>1862.2666666666667</v>
      </c>
      <c r="G2" s="12">
        <f>Feuil1!L2</f>
        <v>0</v>
      </c>
      <c r="H2" t="str">
        <f>IF(OR(G2="",G2=0,C2="",C2=0,D2="",D2=0),"",3*G2*C2/D2*Feuil1!$B$2/200+1)</f>
        <v/>
      </c>
      <c r="I2" t="str">
        <f>IF(H2="","",IF(H2=0,"",H2+(SUM($H$2:$H$1004))/2-H2/2))</f>
        <v/>
      </c>
      <c r="J2" s="5" t="str">
        <f>IF(Qte!J2="","",IF(Qte!J2=0,"",IF($E2="","",IF($E2=0,"",Qte!J2*$E2))))</f>
        <v/>
      </c>
      <c r="K2" s="5" t="str">
        <f>IF(Qte!K2="","",IF(Qte!K2=0,"",IF($E2="","",IF($E2=0,"",Qte!K2*$E2))))</f>
        <v/>
      </c>
      <c r="L2" s="5" t="str">
        <f>IF(Qte!L2="","",IF(Qte!L2=0,"",IF($E2="","",IF($E2=0,"",Qte!L2*$E2))))</f>
        <v/>
      </c>
      <c r="M2" s="5" t="str">
        <f>IF(Qte!M2="","",IF(Qte!M2=0,"",IF($E2="","",IF($E2=0,"",Qte!M2*$E2))))</f>
        <v/>
      </c>
      <c r="N2" s="5" t="str">
        <f>IF(Qte!N2="","",IF(Qte!N2=0,"",IF($E2="","",IF($E2=0,"",Qte!N2*$E2))))</f>
        <v/>
      </c>
      <c r="O2" s="5" t="str">
        <f>IF(Qte!O2="","",IF(Qte!O2=0,"",IF($E2="","",IF($E2=0,"",Qte!O2*$E2))))</f>
        <v/>
      </c>
      <c r="P2" s="5" t="str">
        <f>IF(Qte!P2="","",IF(Qte!P2=0,"",IF($E2="","",IF($E2=0,"",Qte!P2*$E2))))</f>
        <v/>
      </c>
      <c r="Q2" s="5" t="str">
        <f>IF(Qte!Q2="","",IF(Qte!Q2=0,"",IF($E2="","",IF($E2=0,"",Qte!Q2*$E2))))</f>
        <v/>
      </c>
      <c r="R2" s="5" t="str">
        <f>IF(Qte!R2="","",IF(Qte!R2=0,"",IF($E2="","",IF($E2=0,"",Qte!R2*$E2))))</f>
        <v/>
      </c>
    </row>
    <row r="3" spans="1:18">
      <c r="A3" s="12" t="s">
        <v>12</v>
      </c>
      <c r="B3" s="12" t="s">
        <v>13</v>
      </c>
      <c r="C3" s="12">
        <v>15</v>
      </c>
      <c r="D3" s="12">
        <v>1</v>
      </c>
      <c r="E3" s="14">
        <f>Feuil1!J3</f>
        <v>6321</v>
      </c>
      <c r="F3" s="8">
        <f>E3/C3</f>
        <v>421.4</v>
      </c>
      <c r="G3" s="12">
        <f>Feuil1!L3</f>
        <v>0</v>
      </c>
      <c r="H3" t="str">
        <f>IF(OR(G3="",G3=0,C3="",C3=0,D3="",D3=0),"",3*G3*C3/D3*Feuil1!$B$2/200+1)</f>
        <v/>
      </c>
      <c r="I3" t="str">
        <f t="shared" ref="I3:I51" si="0">IF(H3="","",IF(H3=0,"",H3+(SUM($H$2:$H$1004))/2-H3/2))</f>
        <v/>
      </c>
      <c r="J3" s="5" t="str">
        <f>IF(Qte!J3="","",IF(Qte!J3=0,"",IF($E3="","",IF($E3=0,"",Qte!J3*$E3))))</f>
        <v/>
      </c>
      <c r="K3" s="5" t="str">
        <f>IF(Qte!K3="","",IF(Qte!K3=0,"",IF($E3="","",IF($E3=0,"",Qte!K3*$E3))))</f>
        <v/>
      </c>
      <c r="L3" s="5" t="str">
        <f>IF(Qte!L3="","",IF(Qte!L3=0,"",IF($E3="","",IF($E3=0,"",Qte!L3*$E3))))</f>
        <v/>
      </c>
      <c r="M3" s="5" t="str">
        <f>IF(Qte!M3="","",IF(Qte!M3=0,"",IF($E3="","",IF($E3=0,"",Qte!M3*$E3))))</f>
        <v/>
      </c>
      <c r="N3" s="5" t="str">
        <f>IF(Qte!N3="","",IF(Qte!N3=0,"",IF($E3="","",IF($E3=0,"",Qte!N3*$E3))))</f>
        <v/>
      </c>
      <c r="O3" s="5" t="str">
        <f>IF(Qte!O3="","",IF(Qte!O3=0,"",IF($E3="","",IF($E3=0,"",Qte!O3*$E3))))</f>
        <v/>
      </c>
      <c r="P3" s="5" t="str">
        <f>IF(Qte!P3="","",IF(Qte!P3=0,"",IF($E3="","",IF($E3=0,"",Qte!P3*$E3))))</f>
        <v/>
      </c>
      <c r="Q3" s="5" t="str">
        <f>IF(Qte!Q3="","",IF(Qte!Q3=0,"",IF($E3="","",IF($E3=0,"",Qte!Q3*$E3))))</f>
        <v/>
      </c>
      <c r="R3" s="5" t="str">
        <f>IF(Qte!R3="","",IF(Qte!R3=0,"",IF($E3="","",IF($E3=0,"",Qte!R3*$E3))))</f>
        <v/>
      </c>
    </row>
    <row r="4" spans="1:18">
      <c r="A4" s="12" t="s">
        <v>14</v>
      </c>
      <c r="B4" s="12" t="s">
        <v>15</v>
      </c>
      <c r="C4" s="12">
        <v>15</v>
      </c>
      <c r="D4" s="12">
        <v>1</v>
      </c>
      <c r="E4" s="14">
        <f>Feuil1!J4</f>
        <v>29031</v>
      </c>
      <c r="F4" s="8">
        <f>E4/C4</f>
        <v>1935.4</v>
      </c>
      <c r="G4" s="12">
        <f>Feuil1!L4</f>
        <v>0</v>
      </c>
      <c r="H4" t="str">
        <f>IF(OR(G4="",G4=0,C4="",C4=0,D4="",D4=0),"",3*G4*C4/D4*Feuil1!$B$2/200+1)</f>
        <v/>
      </c>
      <c r="I4" t="str">
        <f t="shared" si="0"/>
        <v/>
      </c>
      <c r="J4" s="5" t="str">
        <f>IF(Qte!J4="","",IF(Qte!J4=0,"",IF($E4="","",IF($E4=0,"",Qte!J4*$E4))))</f>
        <v/>
      </c>
      <c r="K4" s="5" t="str">
        <f>IF(Qte!K4="","",IF(Qte!K4=0,"",IF($E4="","",IF($E4=0,"",Qte!K4*$E4))))</f>
        <v/>
      </c>
      <c r="L4" s="5" t="str">
        <f>IF(Qte!L4="","",IF(Qte!L4=0,"",IF($E4="","",IF($E4=0,"",Qte!L4*$E4))))</f>
        <v/>
      </c>
      <c r="M4" s="5" t="str">
        <f>IF(Qte!M4="","",IF(Qte!M4=0,"",IF($E4="","",IF($E4=0,"",Qte!M4*$E4))))</f>
        <v/>
      </c>
      <c r="N4" s="5" t="str">
        <f>IF(Qte!N4="","",IF(Qte!N4=0,"",IF($E4="","",IF($E4=0,"",Qte!N4*$E4))))</f>
        <v/>
      </c>
      <c r="O4" s="5" t="str">
        <f>IF(Qte!O4="","",IF(Qte!O4=0,"",IF($E4="","",IF($E4=0,"",Qte!O4*$E4))))</f>
        <v/>
      </c>
      <c r="P4" s="5" t="str">
        <f>IF(Qte!P4="","",IF(Qte!P4=0,"",IF($E4="","",IF($E4=0,"",Qte!P4*$E4))))</f>
        <v/>
      </c>
      <c r="Q4" s="5" t="str">
        <f>IF(Qte!Q4="","",IF(Qte!Q4=0,"",IF($E4="","",IF($E4=0,"",Qte!Q4*$E4))))</f>
        <v/>
      </c>
      <c r="R4" s="5" t="str">
        <f>IF(Qte!R4="","",IF(Qte!R4=0,"",IF($E4="","",IF($E4=0,"",Qte!R4*$E4))))</f>
        <v/>
      </c>
    </row>
    <row r="5" spans="1:18">
      <c r="A5" s="12" t="s">
        <v>17</v>
      </c>
      <c r="B5" s="12" t="s">
        <v>18</v>
      </c>
      <c r="C5" s="12">
        <v>15</v>
      </c>
      <c r="D5" s="12">
        <v>1</v>
      </c>
      <c r="E5" s="14">
        <f>Feuil1!J5</f>
        <v>9398</v>
      </c>
      <c r="F5" s="8">
        <f>E5/C5</f>
        <v>626.5333333333333</v>
      </c>
      <c r="G5" s="12">
        <f>Feuil1!L5</f>
        <v>0</v>
      </c>
      <c r="H5" t="str">
        <f>IF(OR(G5="",G5=0,C5="",C5=0,D5="",D5=0),"",3*G5*C5/D5*Feuil1!$B$2/200+1)</f>
        <v/>
      </c>
      <c r="I5" t="str">
        <f t="shared" si="0"/>
        <v/>
      </c>
      <c r="J5" s="5" t="str">
        <f>IF(Qte!J5="","",IF(Qte!J5=0,"",IF($E5="","",IF($E5=0,"",Qte!J5*$E5))))</f>
        <v/>
      </c>
      <c r="K5" s="5" t="str">
        <f>IF(Qte!K5="","",IF(Qte!K5=0,"",IF($E5="","",IF($E5=0,"",Qte!K5*$E5))))</f>
        <v/>
      </c>
      <c r="L5" s="5" t="str">
        <f>IF(Qte!L5="","",IF(Qte!L5=0,"",IF($E5="","",IF($E5=0,"",Qte!L5*$E5))))</f>
        <v/>
      </c>
      <c r="M5" s="5" t="str">
        <f>IF(Qte!M5="","",IF(Qte!M5=0,"",IF($E5="","",IF($E5=0,"",Qte!M5*$E5))))</f>
        <v/>
      </c>
      <c r="N5" s="5" t="str">
        <f>IF(Qte!N5="","",IF(Qte!N5=0,"",IF($E5="","",IF($E5=0,"",Qte!N5*$E5))))</f>
        <v/>
      </c>
      <c r="O5" s="5" t="str">
        <f>IF(Qte!O5="","",IF(Qte!O5=0,"",IF($E5="","",IF($E5=0,"",Qte!O5*$E5))))</f>
        <v/>
      </c>
      <c r="P5" s="5" t="str">
        <f>IF(Qte!P5="","",IF(Qte!P5=0,"",IF($E5="","",IF($E5=0,"",Qte!P5*$E5))))</f>
        <v/>
      </c>
      <c r="Q5" s="5" t="str">
        <f>IF(Qte!Q5="","",IF(Qte!Q5=0,"",IF($E5="","",IF($E5=0,"",Qte!Q5*$E5))))</f>
        <v/>
      </c>
      <c r="R5" s="5" t="str">
        <f>IF(Qte!R5="","",IF(Qte!R5=0,"",IF($E5="","",IF($E5=0,"",Qte!R5*$E5))))</f>
        <v/>
      </c>
    </row>
    <row r="6" spans="1:18">
      <c r="A6" s="12" t="s">
        <v>20</v>
      </c>
      <c r="B6" s="12" t="s">
        <v>21</v>
      </c>
      <c r="C6" s="12">
        <v>6</v>
      </c>
      <c r="D6" s="12">
        <v>1</v>
      </c>
      <c r="E6" s="14">
        <f>Feuil1!J6</f>
        <v>1264</v>
      </c>
      <c r="F6" s="8">
        <f>E6/C6</f>
        <v>210.66666666666666</v>
      </c>
      <c r="G6" s="12">
        <f>Feuil1!L6</f>
        <v>0</v>
      </c>
      <c r="H6" t="str">
        <f>IF(OR(G6="",G6=0,C6="",C6=0,D6="",D6=0),"",3*G6*C6/D6*Feuil1!$B$2/200+1)</f>
        <v/>
      </c>
      <c r="I6" t="str">
        <f t="shared" si="0"/>
        <v/>
      </c>
      <c r="J6" s="5" t="str">
        <f>IF(Qte!J6="","",IF(Qte!J6=0,"",IF($E6="","",IF($E6=0,"",Qte!J6*$E6))))</f>
        <v/>
      </c>
      <c r="K6" s="5" t="str">
        <f>IF(Qte!K6="","",IF(Qte!K6=0,"",IF($E6="","",IF($E6=0,"",Qte!K6*$E6))))</f>
        <v/>
      </c>
      <c r="L6" s="5" t="str">
        <f>IF(Qte!L6="","",IF(Qte!L6=0,"",IF($E6="","",IF($E6=0,"",Qte!L6*$E6))))</f>
        <v/>
      </c>
      <c r="M6" s="5" t="str">
        <f>IF(Qte!M6="","",IF(Qte!M6=0,"",IF($E6="","",IF($E6=0,"",Qte!M6*$E6))))</f>
        <v/>
      </c>
      <c r="N6" s="5" t="str">
        <f>IF(Qte!N6="","",IF(Qte!N6=0,"",IF($E6="","",IF($E6=0,"",Qte!N6*$E6))))</f>
        <v/>
      </c>
      <c r="O6" s="5" t="str">
        <f>IF(Qte!O6="","",IF(Qte!O6=0,"",IF($E6="","",IF($E6=0,"",Qte!O6*$E6))))</f>
        <v/>
      </c>
      <c r="P6" s="5" t="str">
        <f>IF(Qte!P6="","",IF(Qte!P6=0,"",IF($E6="","",IF($E6=0,"",Qte!P6*$E6))))</f>
        <v/>
      </c>
      <c r="Q6" s="5" t="str">
        <f>IF(Qte!Q6="","",IF(Qte!Q6=0,"",IF($E6="","",IF($E6=0,"",Qte!Q6*$E6))))</f>
        <v/>
      </c>
      <c r="R6" s="5" t="str">
        <f>IF(Qte!R6="","",IF(Qte!R6=0,"",IF($E6="","",IF($E6=0,"",Qte!R6*$E6))))</f>
        <v/>
      </c>
    </row>
    <row r="7" spans="1:18">
      <c r="A7" s="12" t="s">
        <v>23</v>
      </c>
      <c r="B7" s="12" t="s">
        <v>24</v>
      </c>
      <c r="C7" s="12">
        <v>10</v>
      </c>
      <c r="D7" s="12">
        <v>1</v>
      </c>
      <c r="E7" s="14">
        <f>Feuil1!J7</f>
        <v>1898</v>
      </c>
      <c r="F7" s="8">
        <f>E7/C7</f>
        <v>189.8</v>
      </c>
      <c r="G7" s="12">
        <f>Feuil1!L7</f>
        <v>0</v>
      </c>
      <c r="H7" t="str">
        <f>IF(OR(G7="",G7=0,C7="",C7=0,D7="",D7=0),"",3*G7*C7/D7*Feuil1!$B$2/200+1)</f>
        <v/>
      </c>
      <c r="I7" t="str">
        <f t="shared" si="0"/>
        <v/>
      </c>
      <c r="J7" s="5" t="str">
        <f>IF(Qte!J7="","",IF(Qte!J7=0,"",IF($E7="","",IF($E7=0,"",Qte!J7*$E7))))</f>
        <v/>
      </c>
      <c r="K7" s="5" t="str">
        <f>IF(Qte!K7="","",IF(Qte!K7=0,"",IF($E7="","",IF($E7=0,"",Qte!K7*$E7))))</f>
        <v/>
      </c>
      <c r="L7" s="5" t="str">
        <f>IF(Qte!L7="","",IF(Qte!L7=0,"",IF($E7="","",IF($E7=0,"",Qte!L7*$E7))))</f>
        <v/>
      </c>
      <c r="M7" s="5" t="str">
        <f>IF(Qte!M7="","",IF(Qte!M7=0,"",IF($E7="","",IF($E7=0,"",Qte!M7*$E7))))</f>
        <v/>
      </c>
      <c r="N7" s="5" t="str">
        <f>IF(Qte!N7="","",IF(Qte!N7=0,"",IF($E7="","",IF($E7=0,"",Qte!N7*$E7))))</f>
        <v/>
      </c>
      <c r="O7" s="5" t="str">
        <f>IF(Qte!O7="","",IF(Qte!O7=0,"",IF($E7="","",IF($E7=0,"",Qte!O7*$E7))))</f>
        <v/>
      </c>
      <c r="P7" s="5" t="str">
        <f>IF(Qte!P7="","",IF(Qte!P7=0,"",IF($E7="","",IF($E7=0,"",Qte!P7*$E7))))</f>
        <v/>
      </c>
      <c r="Q7" s="5" t="str">
        <f>IF(Qte!Q7="","",IF(Qte!Q7=0,"",IF($E7="","",IF($E7=0,"",Qte!Q7*$E7))))</f>
        <v/>
      </c>
      <c r="R7" s="5" t="str">
        <f>IF(Qte!R7="","",IF(Qte!R7=0,"",IF($E7="","",IF($E7=0,"",Qte!R7*$E7))))</f>
        <v/>
      </c>
    </row>
    <row r="8" spans="1:18">
      <c r="A8" s="12" t="s">
        <v>25</v>
      </c>
      <c r="B8" s="12" t="s">
        <v>26</v>
      </c>
      <c r="C8" s="12">
        <v>6</v>
      </c>
      <c r="D8" s="12">
        <v>1</v>
      </c>
      <c r="E8" s="14">
        <f>Feuil1!J8</f>
        <v>1514</v>
      </c>
      <c r="F8" s="8">
        <f>E8/C8</f>
        <v>252.33333333333334</v>
      </c>
      <c r="G8" s="12">
        <f>Feuil1!L8</f>
        <v>0</v>
      </c>
      <c r="H8" t="str">
        <f>IF(OR(G8="",G8=0,C8="",C8=0,D8="",D8=0),"",3*G8*C8/D8*Feuil1!$B$2/200+1)</f>
        <v/>
      </c>
      <c r="I8" t="str">
        <f t="shared" si="0"/>
        <v/>
      </c>
      <c r="J8" s="5" t="str">
        <f>IF(Qte!J8="","",IF(Qte!J8=0,"",IF($E8="","",IF($E8=0,"",Qte!J8*$E8))))</f>
        <v/>
      </c>
      <c r="K8" s="5" t="str">
        <f>IF(Qte!K8="","",IF(Qte!K8=0,"",IF($E8="","",IF($E8=0,"",Qte!K8*$E8))))</f>
        <v/>
      </c>
      <c r="L8" s="5" t="str">
        <f>IF(Qte!L8="","",IF(Qte!L8=0,"",IF($E8="","",IF($E8=0,"",Qte!L8*$E8))))</f>
        <v/>
      </c>
      <c r="M8" s="5" t="str">
        <f>IF(Qte!M8="","",IF(Qte!M8=0,"",IF($E8="","",IF($E8=0,"",Qte!M8*$E8))))</f>
        <v/>
      </c>
      <c r="N8" s="5" t="str">
        <f>IF(Qte!N8="","",IF(Qte!N8=0,"",IF($E8="","",IF($E8=0,"",Qte!N8*$E8))))</f>
        <v/>
      </c>
      <c r="O8" s="5" t="str">
        <f>IF(Qte!O8="","",IF(Qte!O8=0,"",IF($E8="","",IF($E8=0,"",Qte!O8*$E8))))</f>
        <v/>
      </c>
      <c r="P8" s="5" t="str">
        <f>IF(Qte!P8="","",IF(Qte!P8=0,"",IF($E8="","",IF($E8=0,"",Qte!P8*$E8))))</f>
        <v/>
      </c>
      <c r="Q8" s="5" t="str">
        <f>IF(Qte!Q8="","",IF(Qte!Q8=0,"",IF($E8="","",IF($E8=0,"",Qte!Q8*$E8))))</f>
        <v/>
      </c>
      <c r="R8" s="5" t="str">
        <f>IF(Qte!R8="","",IF(Qte!R8=0,"",IF($E8="","",IF($E8=0,"",Qte!R8*$E8))))</f>
        <v/>
      </c>
    </row>
    <row r="9" spans="1:18">
      <c r="A9" s="12" t="s">
        <v>27</v>
      </c>
      <c r="B9" s="12" t="s">
        <v>28</v>
      </c>
      <c r="C9" s="12">
        <v>6</v>
      </c>
      <c r="D9" s="12">
        <v>1</v>
      </c>
      <c r="E9" s="14">
        <f>Feuil1!J9</f>
        <v>1051</v>
      </c>
      <c r="F9" s="8">
        <f>E9/C9</f>
        <v>175.16666666666666</v>
      </c>
      <c r="G9" s="12">
        <f>Feuil1!L9</f>
        <v>0</v>
      </c>
      <c r="H9" t="str">
        <f>IF(OR(G9="",G9=0,C9="",C9=0,D9="",D9=0),"",3*G9*C9/D9*Feuil1!$B$2/200+1)</f>
        <v/>
      </c>
      <c r="I9" t="str">
        <f t="shared" si="0"/>
        <v/>
      </c>
      <c r="J9" s="5" t="str">
        <f>IF(Qte!J9="","",IF(Qte!J9=0,"",IF($E9="","",IF($E9=0,"",Qte!J9*$E9))))</f>
        <v/>
      </c>
      <c r="K9" s="5" t="str">
        <f>IF(Qte!K9="","",IF(Qte!K9=0,"",IF($E9="","",IF($E9=0,"",Qte!K9*$E9))))</f>
        <v/>
      </c>
      <c r="L9" s="5" t="str">
        <f>IF(Qte!L9="","",IF(Qte!L9=0,"",IF($E9="","",IF($E9=0,"",Qte!L9*$E9))))</f>
        <v/>
      </c>
      <c r="M9" s="5" t="str">
        <f>IF(Qte!M9="","",IF(Qte!M9=0,"",IF($E9="","",IF($E9=0,"",Qte!M9*$E9))))</f>
        <v/>
      </c>
      <c r="N9" s="5" t="str">
        <f>IF(Qte!N9="","",IF(Qte!N9=0,"",IF($E9="","",IF($E9=0,"",Qte!N9*$E9))))</f>
        <v/>
      </c>
      <c r="O9" s="5" t="str">
        <f>IF(Qte!O9="","",IF(Qte!O9=0,"",IF($E9="","",IF($E9=0,"",Qte!O9*$E9))))</f>
        <v/>
      </c>
      <c r="P9" s="5" t="str">
        <f>IF(Qte!P9="","",IF(Qte!P9=0,"",IF($E9="","",IF($E9=0,"",Qte!P9*$E9))))</f>
        <v/>
      </c>
      <c r="Q9" s="5" t="str">
        <f>IF(Qte!Q9="","",IF(Qte!Q9=0,"",IF($E9="","",IF($E9=0,"",Qte!Q9*$E9))))</f>
        <v/>
      </c>
      <c r="R9" s="5" t="str">
        <f>IF(Qte!R9="","",IF(Qte!R9=0,"",IF($E9="","",IF($E9=0,"",Qte!R9*$E9))))</f>
        <v/>
      </c>
    </row>
    <row r="10" spans="1:18">
      <c r="A10" s="12" t="s">
        <v>29</v>
      </c>
      <c r="B10" s="12" t="s">
        <v>30</v>
      </c>
      <c r="C10" s="12">
        <v>10</v>
      </c>
      <c r="D10" s="12">
        <v>1</v>
      </c>
      <c r="E10" s="14">
        <f>Feuil1!J10</f>
        <v>3961</v>
      </c>
      <c r="F10" s="8">
        <f>E10/C10</f>
        <v>396.1</v>
      </c>
      <c r="G10" s="12">
        <f>Feuil1!L10</f>
        <v>0</v>
      </c>
      <c r="H10" t="str">
        <f>IF(OR(G10="",G10=0,C10="",C10=0,D10="",D10=0),"",3*G10*C10/D10*Feuil1!$B$2/200+1)</f>
        <v/>
      </c>
      <c r="I10" t="str">
        <f t="shared" si="0"/>
        <v/>
      </c>
      <c r="J10" s="5" t="str">
        <f>IF(Qte!J10="","",IF(Qte!J10=0,"",IF($E10="","",IF($E10=0,"",Qte!J10*$E10))))</f>
        <v/>
      </c>
      <c r="K10" s="5" t="str">
        <f>IF(Qte!K10="","",IF(Qte!K10=0,"",IF($E10="","",IF($E10=0,"",Qte!K10*$E10))))</f>
        <v/>
      </c>
      <c r="L10" s="5" t="str">
        <f>IF(Qte!L10="","",IF(Qte!L10=0,"",IF($E10="","",IF($E10=0,"",Qte!L10*$E10))))</f>
        <v/>
      </c>
      <c r="M10" s="5" t="str">
        <f>IF(Qte!M10="","",IF(Qte!M10=0,"",IF($E10="","",IF($E10=0,"",Qte!M10*$E10))))</f>
        <v/>
      </c>
      <c r="N10" s="5" t="str">
        <f>IF(Qte!N10="","",IF(Qte!N10=0,"",IF($E10="","",IF($E10=0,"",Qte!N10*$E10))))</f>
        <v/>
      </c>
      <c r="O10" s="5" t="str">
        <f>IF(Qte!O10="","",IF(Qte!O10=0,"",IF($E10="","",IF($E10=0,"",Qte!O10*$E10))))</f>
        <v/>
      </c>
      <c r="P10" s="5" t="str">
        <f>IF(Qte!P10="","",IF(Qte!P10=0,"",IF($E10="","",IF($E10=0,"",Qte!P10*$E10))))</f>
        <v/>
      </c>
      <c r="Q10" s="5" t="str">
        <f>IF(Qte!Q10="","",IF(Qte!Q10=0,"",IF($E10="","",IF($E10=0,"",Qte!Q10*$E10))))</f>
        <v/>
      </c>
      <c r="R10" s="5" t="str">
        <f>IF(Qte!R10="","",IF(Qte!R10=0,"",IF($E10="","",IF($E10=0,"",Qte!R10*$E10))))</f>
        <v/>
      </c>
    </row>
    <row r="11" spans="1:18">
      <c r="A11" s="12" t="s">
        <v>31</v>
      </c>
      <c r="B11" s="12" t="s">
        <v>32</v>
      </c>
      <c r="C11" s="12">
        <v>6</v>
      </c>
      <c r="D11" s="12">
        <v>1</v>
      </c>
      <c r="E11" s="14">
        <f>Feuil1!J11</f>
        <v>1209</v>
      </c>
      <c r="F11" s="8">
        <f>E11/C11</f>
        <v>201.5</v>
      </c>
      <c r="G11" s="12">
        <f>Feuil1!L11</f>
        <v>0</v>
      </c>
      <c r="H11" t="str">
        <f>IF(OR(G11="",G11=0,C11="",C11=0,D11="",D11=0),"",3*G11*C11/D11*Feuil1!$B$2/200+1)</f>
        <v/>
      </c>
      <c r="I11" t="str">
        <f t="shared" si="0"/>
        <v/>
      </c>
      <c r="J11" s="5" t="str">
        <f>IF(Qte!J11="","",IF(Qte!J11=0,"",IF($E11="","",IF($E11=0,"",Qte!J11*$E11))))</f>
        <v/>
      </c>
      <c r="K11" s="5" t="str">
        <f>IF(Qte!K11="","",IF(Qte!K11=0,"",IF($E11="","",IF($E11=0,"",Qte!K11*$E11))))</f>
        <v/>
      </c>
      <c r="L11" s="5" t="str">
        <f>IF(Qte!L11="","",IF(Qte!L11=0,"",IF($E11="","",IF($E11=0,"",Qte!L11*$E11))))</f>
        <v/>
      </c>
      <c r="M11" s="5" t="str">
        <f>IF(Qte!M11="","",IF(Qte!M11=0,"",IF($E11="","",IF($E11=0,"",Qte!M11*$E11))))</f>
        <v/>
      </c>
      <c r="N11" s="5" t="str">
        <f>IF(Qte!N11="","",IF(Qte!N11=0,"",IF($E11="","",IF($E11=0,"",Qte!N11*$E11))))</f>
        <v/>
      </c>
      <c r="O11" s="5" t="str">
        <f>IF(Qte!O11="","",IF(Qte!O11=0,"",IF($E11="","",IF($E11=0,"",Qte!O11*$E11))))</f>
        <v/>
      </c>
      <c r="P11" s="5" t="str">
        <f>IF(Qte!P11="","",IF(Qte!P11=0,"",IF($E11="","",IF($E11=0,"",Qte!P11*$E11))))</f>
        <v/>
      </c>
      <c r="Q11" s="5" t="str">
        <f>IF(Qte!Q11="","",IF(Qte!Q11=0,"",IF($E11="","",IF($E11=0,"",Qte!Q11*$E11))))</f>
        <v/>
      </c>
      <c r="R11" s="5" t="str">
        <f>IF(Qte!R11="","",IF(Qte!R11=0,"",IF($E11="","",IF($E11=0,"",Qte!R11*$E11))))</f>
        <v/>
      </c>
    </row>
    <row r="12" spans="1:18">
      <c r="A12" s="12" t="s">
        <v>33</v>
      </c>
      <c r="B12" s="12" t="s">
        <v>34</v>
      </c>
      <c r="C12" s="12">
        <v>6</v>
      </c>
      <c r="D12" s="12">
        <v>1</v>
      </c>
      <c r="E12" s="14">
        <f>Feuil1!J12</f>
        <v>1438</v>
      </c>
      <c r="F12" s="8">
        <f>E12/C12</f>
        <v>239.66666666666666</v>
      </c>
      <c r="G12" s="12">
        <f>Feuil1!L12</f>
        <v>0</v>
      </c>
      <c r="H12" t="str">
        <f>IF(OR(G12="",G12=0,C12="",C12=0,D12="",D12=0),"",3*G12*C12/D12*Feuil1!$B$2/200+1)</f>
        <v/>
      </c>
      <c r="I12" t="str">
        <f t="shared" si="0"/>
        <v/>
      </c>
      <c r="J12" s="5" t="str">
        <f>IF(Qte!J12="","",IF(Qte!J12=0,"",IF($E12="","",IF($E12=0,"",Qte!J12*$E12))))</f>
        <v/>
      </c>
      <c r="K12" s="5" t="str">
        <f>IF(Qte!K12="","",IF(Qte!K12=0,"",IF($E12="","",IF($E12=0,"",Qte!K12*$E12))))</f>
        <v/>
      </c>
      <c r="L12" s="5" t="str">
        <f>IF(Qte!L12="","",IF(Qte!L12=0,"",IF($E12="","",IF($E12=0,"",Qte!L12*$E12))))</f>
        <v/>
      </c>
      <c r="M12" s="5" t="str">
        <f>IF(Qte!M12="","",IF(Qte!M12=0,"",IF($E12="","",IF($E12=0,"",Qte!M12*$E12))))</f>
        <v/>
      </c>
      <c r="N12" s="5" t="str">
        <f>IF(Qte!N12="","",IF(Qte!N12=0,"",IF($E12="","",IF($E12=0,"",Qte!N12*$E12))))</f>
        <v/>
      </c>
      <c r="O12" s="5" t="str">
        <f>IF(Qte!O12="","",IF(Qte!O12=0,"",IF($E12="","",IF($E12=0,"",Qte!O12*$E12))))</f>
        <v/>
      </c>
      <c r="P12" s="5" t="str">
        <f>IF(Qte!P12="","",IF(Qte!P12=0,"",IF($E12="","",IF($E12=0,"",Qte!P12*$E12))))</f>
        <v/>
      </c>
      <c r="Q12" s="5" t="str">
        <f>IF(Qte!Q12="","",IF(Qte!Q12=0,"",IF($E12="","",IF($E12=0,"",Qte!Q12*$E12))))</f>
        <v/>
      </c>
      <c r="R12" s="5" t="str">
        <f>IF(Qte!R12="","",IF(Qte!R12=0,"",IF($E12="","",IF($E12=0,"",Qte!R12*$E12))))</f>
        <v/>
      </c>
    </row>
    <row r="13" spans="1:18">
      <c r="A13" s="12" t="s">
        <v>35</v>
      </c>
      <c r="B13" s="12" t="s">
        <v>36</v>
      </c>
      <c r="C13" s="12">
        <v>1</v>
      </c>
      <c r="D13" s="12">
        <v>1</v>
      </c>
      <c r="E13" s="14">
        <f>Feuil1!J13</f>
        <v>99</v>
      </c>
      <c r="F13" s="8">
        <f>E13/C13</f>
        <v>99</v>
      </c>
      <c r="G13" s="12">
        <f>Feuil1!L13</f>
        <v>0</v>
      </c>
      <c r="H13" t="str">
        <f>IF(OR(G13="",G13=0,C13="",C13=0,D13="",D13=0),"",3*G13*C13/D13*Feuil1!$B$2/200+1)</f>
        <v/>
      </c>
      <c r="I13" t="str">
        <f t="shared" si="0"/>
        <v/>
      </c>
      <c r="J13" s="5" t="str">
        <f>IF(Qte!J13="","",IF(Qte!J13=0,"",IF($E13="","",IF($E13=0,"",Qte!J13*$E13))))</f>
        <v/>
      </c>
      <c r="K13" s="5" t="str">
        <f>IF(Qte!K13="","",IF(Qte!K13=0,"",IF($E13="","",IF($E13=0,"",Qte!K13*$E13))))</f>
        <v/>
      </c>
      <c r="L13" s="5" t="str">
        <f>IF(Qte!L13="","",IF(Qte!L13=0,"",IF($E13="","",IF($E13=0,"",Qte!L13*$E13))))</f>
        <v/>
      </c>
      <c r="M13" s="5" t="str">
        <f>IF(Qte!M13="","",IF(Qte!M13=0,"",IF($E13="","",IF($E13=0,"",Qte!M13*$E13))))</f>
        <v/>
      </c>
      <c r="N13" s="5" t="str">
        <f>IF(Qte!N13="","",IF(Qte!N13=0,"",IF($E13="","",IF($E13=0,"",Qte!N13*$E13))))</f>
        <v/>
      </c>
      <c r="O13" s="5" t="str">
        <f>IF(Qte!O13="","",IF(Qte!O13=0,"",IF($E13="","",IF($E13=0,"",Qte!O13*$E13))))</f>
        <v/>
      </c>
      <c r="P13" s="5" t="str">
        <f>IF(Qte!P13="","",IF(Qte!P13=0,"",IF($E13="","",IF($E13=0,"",Qte!P13*$E13))))</f>
        <v/>
      </c>
      <c r="Q13" s="5" t="str">
        <f>IF(Qte!Q13="","",IF(Qte!Q13=0,"",IF($E13="","",IF($E13=0,"",Qte!Q13*$E13))))</f>
        <v/>
      </c>
      <c r="R13" s="5" t="str">
        <f>IF(Qte!R13="","",IF(Qte!R13=0,"",IF($E13="","",IF($E13=0,"",Qte!R13*$E13))))</f>
        <v/>
      </c>
    </row>
    <row r="14" spans="1:18">
      <c r="A14" s="12" t="s">
        <v>37</v>
      </c>
      <c r="B14" s="12" t="s">
        <v>38</v>
      </c>
      <c r="C14" s="12">
        <v>1</v>
      </c>
      <c r="D14" s="12">
        <v>1</v>
      </c>
      <c r="E14" s="14">
        <f>Feuil1!J14</f>
        <v>75</v>
      </c>
      <c r="F14" s="8">
        <f>E14/C14</f>
        <v>75</v>
      </c>
      <c r="G14" s="12">
        <f>Feuil1!L14</f>
        <v>30</v>
      </c>
      <c r="H14">
        <f>IF(OR(G14="",G14=0,C14="",C14=0,D14="",D14=0),"",3*G14*C14/D14*Feuil1!$B$2/200+1)</f>
        <v>36.549999999999997</v>
      </c>
      <c r="I14">
        <f t="shared" si="0"/>
        <v>168.4</v>
      </c>
      <c r="J14" s="5">
        <f>IF(Qte!J14="","",IF(Qte!J14=0,"",IF($E14="","",IF($E14=0,"",Qte!J14*$E14))))</f>
        <v>12630</v>
      </c>
      <c r="K14" s="5">
        <f>IF(Qte!K14="","",IF(Qte!K14=0,"",IF($E14="","",IF($E14=0,"",Qte!K14*$E14))))</f>
        <v>1768.2</v>
      </c>
      <c r="L14" s="5">
        <f>IF(Qte!L14="","",IF(Qte!L14=0,"",IF($E14="","",IF($E14=0,"",Qte!L14*$E14))))</f>
        <v>1767.5491552447377</v>
      </c>
      <c r="M14" s="5">
        <f>IF(Qte!M14="","",IF(Qte!M14=0,"",IF($E14="","",IF($E14=0,"",Qte!M14*$E14))))</f>
        <v>1766.8987894554189</v>
      </c>
      <c r="N14" s="5">
        <f>IF(Qte!N14="","",IF(Qte!N14=0,"",IF($E14="","",IF($E14=0,"",Qte!N14*$E14))))</f>
        <v>1766.2489021035117</v>
      </c>
      <c r="O14" s="5">
        <f>IF(Qte!O14="","",IF(Qte!O14=0,"",IF($E14="","",IF($E14=0,"",Qte!O14*$E14))))</f>
        <v>1761.7130426539534</v>
      </c>
      <c r="P14" s="5">
        <f>IF(Qte!P14="","",IF(Qte!P14=0,"",IF($E14="","",IF($E14=0,"",Qte!P14*$E14))))</f>
        <v>1705.4038866530345</v>
      </c>
      <c r="Q14" s="5">
        <f>IF(Qte!Q14="","",IF(Qte!Q14=0,"",IF($E14="","",IF($E14=0,"",Qte!Q14*$E14))))</f>
        <v>1292.3398266218719</v>
      </c>
      <c r="R14" s="5">
        <f>IF(Qte!R14="","",IF(Qte!R14=0,"",IF($E14="","",IF($E14=0,"",Qte!R14*$E14))))</f>
        <v>1705.4038866530345</v>
      </c>
    </row>
    <row r="15" spans="1:18">
      <c r="A15" s="12" t="s">
        <v>39</v>
      </c>
      <c r="B15" s="12" t="s">
        <v>40</v>
      </c>
      <c r="C15" s="12">
        <v>10</v>
      </c>
      <c r="D15" s="12">
        <v>1</v>
      </c>
      <c r="E15" s="14">
        <f>Feuil1!J15</f>
        <v>2335</v>
      </c>
      <c r="F15" s="8">
        <f>E15/C15</f>
        <v>233.5</v>
      </c>
      <c r="G15" s="12">
        <f>Feuil1!L15</f>
        <v>0</v>
      </c>
      <c r="H15" t="str">
        <f>IF(OR(G15="",G15=0,C15="",C15=0,D15="",D15=0),"",3*G15*C15/D15*Feuil1!$B$2/200+1)</f>
        <v/>
      </c>
      <c r="I15" t="str">
        <f t="shared" si="0"/>
        <v/>
      </c>
      <c r="J15" s="5" t="str">
        <f>IF(Qte!J15="","",IF(Qte!J15=0,"",IF($E15="","",IF($E15=0,"",Qte!J15*$E15))))</f>
        <v/>
      </c>
      <c r="K15" s="5" t="str">
        <f>IF(Qte!K15="","",IF(Qte!K15=0,"",IF($E15="","",IF($E15=0,"",Qte!K15*$E15))))</f>
        <v/>
      </c>
      <c r="L15" s="5" t="str">
        <f>IF(Qte!L15="","",IF(Qte!L15=0,"",IF($E15="","",IF($E15=0,"",Qte!L15*$E15))))</f>
        <v/>
      </c>
      <c r="M15" s="5" t="str">
        <f>IF(Qte!M15="","",IF(Qte!M15=0,"",IF($E15="","",IF($E15=0,"",Qte!M15*$E15))))</f>
        <v/>
      </c>
      <c r="N15" s="5" t="str">
        <f>IF(Qte!N15="","",IF(Qte!N15=0,"",IF($E15="","",IF($E15=0,"",Qte!N15*$E15))))</f>
        <v/>
      </c>
      <c r="O15" s="5" t="str">
        <f>IF(Qte!O15="","",IF(Qte!O15=0,"",IF($E15="","",IF($E15=0,"",Qte!O15*$E15))))</f>
        <v/>
      </c>
      <c r="P15" s="5" t="str">
        <f>IF(Qte!P15="","",IF(Qte!P15=0,"",IF($E15="","",IF($E15=0,"",Qte!P15*$E15))))</f>
        <v/>
      </c>
      <c r="Q15" s="5" t="str">
        <f>IF(Qte!Q15="","",IF(Qte!Q15=0,"",IF($E15="","",IF($E15=0,"",Qte!Q15*$E15))))</f>
        <v/>
      </c>
      <c r="R15" s="5" t="str">
        <f>IF(Qte!R15="","",IF(Qte!R15=0,"",IF($E15="","",IF($E15=0,"",Qte!R15*$E15))))</f>
        <v/>
      </c>
    </row>
    <row r="16" spans="1:18">
      <c r="A16" s="12" t="s">
        <v>41</v>
      </c>
      <c r="B16" s="12" t="s">
        <v>42</v>
      </c>
      <c r="C16" s="12">
        <v>20</v>
      </c>
      <c r="D16" s="12">
        <v>1</v>
      </c>
      <c r="E16" s="14">
        <f>Feuil1!J16</f>
        <v>883</v>
      </c>
      <c r="F16" s="8">
        <f>E16/C16</f>
        <v>44.15</v>
      </c>
      <c r="G16" s="12">
        <f>Feuil1!L16</f>
        <v>4.5</v>
      </c>
      <c r="H16">
        <f>IF(OR(G16="",G16=0,C16="",C16=0,D16="",D16=0),"",3*G16*C16/D16*Feuil1!$B$2/200+1)</f>
        <v>107.65</v>
      </c>
      <c r="I16">
        <f t="shared" si="0"/>
        <v>203.95</v>
      </c>
      <c r="J16" s="5">
        <f>IF(Qte!J16="","",IF(Qte!J16=0,"",IF($E16="","",IF($E16=0,"",Qte!J16*$E16))))</f>
        <v>9004.3924999999999</v>
      </c>
      <c r="K16" s="5">
        <f>IF(Qte!K16="","",IF(Qte!K16=0,"",IF($E16="","",IF($E16=0,"",Qte!K16*$E16))))</f>
        <v>1260.6149499999999</v>
      </c>
      <c r="L16" s="5">
        <f>IF(Qte!L16="","",IF(Qte!L16=0,"",IF($E16="","",IF($E16=0,"",Qte!L16*$E16))))</f>
        <v>1260.1509387859901</v>
      </c>
      <c r="M16" s="5">
        <f>IF(Qte!M16="","",IF(Qte!M16=0,"",IF($E16="","",IF($E16=0,"",Qte!M16*$E16))))</f>
        <v>1259.6872690444536</v>
      </c>
      <c r="N16" s="5">
        <f>IF(Qte!N16="","",IF(Qte!N16=0,"",IF($E16="","",IF($E16=0,"",Qte!N16*$E16))))</f>
        <v>1259.223940398582</v>
      </c>
      <c r="O16" s="5">
        <f>IF(Qte!O16="","",IF(Qte!O16=0,"",IF($E16="","",IF($E16=0,"",Qte!O16*$E16))))</f>
        <v>1255.9901590202244</v>
      </c>
      <c r="P16" s="5">
        <f>IF(Qte!P16="","",IF(Qte!P16=0,"",IF($E16="","",IF($E16=0,"",Qte!P16*$E16))))</f>
        <v>1215.8452863380392</v>
      </c>
      <c r="Q16" s="5">
        <f>IF(Qte!Q16="","",IF(Qte!Q16=0,"",IF($E16="","",IF($E16=0,"",Qte!Q16*$E16))))</f>
        <v>921.35669376763929</v>
      </c>
      <c r="R16" s="5">
        <f>IF(Qte!R16="","",IF(Qte!R16=0,"",IF($E16="","",IF($E16=0,"",Qte!R16*$E16))))</f>
        <v>1215.8452863380392</v>
      </c>
    </row>
    <row r="17" spans="1:18">
      <c r="A17" s="12" t="s">
        <v>43</v>
      </c>
      <c r="B17" s="12" t="s">
        <v>44</v>
      </c>
      <c r="C17" s="12">
        <v>5</v>
      </c>
      <c r="D17" s="12">
        <v>1</v>
      </c>
      <c r="E17" s="14">
        <f>Feuil1!J17</f>
        <v>1237</v>
      </c>
      <c r="F17" s="8">
        <f>E17/C17</f>
        <v>247.4</v>
      </c>
      <c r="G17" s="12">
        <f>Feuil1!L17</f>
        <v>0</v>
      </c>
      <c r="H17" t="str">
        <f>IF(OR(G17="",G17=0,C17="",C17=0,D17="",D17=0),"",3*G17*C17/D17*Feuil1!$B$2/200+1)</f>
        <v/>
      </c>
      <c r="I17" t="str">
        <f t="shared" si="0"/>
        <v/>
      </c>
      <c r="J17" s="5" t="str">
        <f>IF(Qte!J17="","",IF(Qte!J17=0,"",IF($E17="","",IF($E17=0,"",Qte!J17*$E17))))</f>
        <v/>
      </c>
      <c r="K17" s="5" t="str">
        <f>IF(Qte!K17="","",IF(Qte!K17=0,"",IF($E17="","",IF($E17=0,"",Qte!K17*$E17))))</f>
        <v/>
      </c>
      <c r="L17" s="5" t="str">
        <f>IF(Qte!L17="","",IF(Qte!L17=0,"",IF($E17="","",IF($E17=0,"",Qte!L17*$E17))))</f>
        <v/>
      </c>
      <c r="M17" s="5" t="str">
        <f>IF(Qte!M17="","",IF(Qte!M17=0,"",IF($E17="","",IF($E17=0,"",Qte!M17*$E17))))</f>
        <v/>
      </c>
      <c r="N17" s="5" t="str">
        <f>IF(Qte!N17="","",IF(Qte!N17=0,"",IF($E17="","",IF($E17=0,"",Qte!N17*$E17))))</f>
        <v/>
      </c>
      <c r="O17" s="5" t="str">
        <f>IF(Qte!O17="","",IF(Qte!O17=0,"",IF($E17="","",IF($E17=0,"",Qte!O17*$E17))))</f>
        <v/>
      </c>
      <c r="P17" s="5" t="str">
        <f>IF(Qte!P17="","",IF(Qte!P17=0,"",IF($E17="","",IF($E17=0,"",Qte!P17*$E17))))</f>
        <v/>
      </c>
      <c r="Q17" s="5" t="str">
        <f>IF(Qte!Q17="","",IF(Qte!Q17=0,"",IF($E17="","",IF($E17=0,"",Qte!Q17*$E17))))</f>
        <v/>
      </c>
      <c r="R17" s="5" t="str">
        <f>IF(Qte!R17="","",IF(Qte!R17=0,"",IF($E17="","",IF($E17=0,"",Qte!R17*$E17))))</f>
        <v/>
      </c>
    </row>
    <row r="18" spans="1:18">
      <c r="A18" s="12" t="s">
        <v>45</v>
      </c>
      <c r="B18" s="12" t="s">
        <v>46</v>
      </c>
      <c r="C18" s="12">
        <v>5</v>
      </c>
      <c r="D18" s="12">
        <v>1</v>
      </c>
      <c r="E18" s="14">
        <f>Feuil1!J18</f>
        <v>1562</v>
      </c>
      <c r="F18" s="8">
        <f>E18/C18</f>
        <v>312.39999999999998</v>
      </c>
      <c r="G18" s="12">
        <f>Feuil1!L18</f>
        <v>0</v>
      </c>
      <c r="H18" t="str">
        <f>IF(OR(G18="",G18=0,C18="",C18=0,D18="",D18=0),"",3*G18*C18/D18*Feuil1!$B$2/200+1)</f>
        <v/>
      </c>
      <c r="I18" t="str">
        <f t="shared" si="0"/>
        <v/>
      </c>
      <c r="J18" s="5" t="str">
        <f>IF(Qte!J18="","",IF(Qte!J18=0,"",IF($E18="","",IF($E18=0,"",Qte!J18*$E18))))</f>
        <v/>
      </c>
      <c r="K18" s="5" t="str">
        <f>IF(Qte!K18="","",IF(Qte!K18=0,"",IF($E18="","",IF($E18=0,"",Qte!K18*$E18))))</f>
        <v/>
      </c>
      <c r="L18" s="5" t="str">
        <f>IF(Qte!L18="","",IF(Qte!L18=0,"",IF($E18="","",IF($E18=0,"",Qte!L18*$E18))))</f>
        <v/>
      </c>
      <c r="M18" s="5" t="str">
        <f>IF(Qte!M18="","",IF(Qte!M18=0,"",IF($E18="","",IF($E18=0,"",Qte!M18*$E18))))</f>
        <v/>
      </c>
      <c r="N18" s="5" t="str">
        <f>IF(Qte!N18="","",IF(Qte!N18=0,"",IF($E18="","",IF($E18=0,"",Qte!N18*$E18))))</f>
        <v/>
      </c>
      <c r="O18" s="5" t="str">
        <f>IF(Qte!O18="","",IF(Qte!O18=0,"",IF($E18="","",IF($E18=0,"",Qte!O18*$E18))))</f>
        <v/>
      </c>
      <c r="P18" s="5" t="str">
        <f>IF(Qte!P18="","",IF(Qte!P18=0,"",IF($E18="","",IF($E18=0,"",Qte!P18*$E18))))</f>
        <v/>
      </c>
      <c r="Q18" s="5" t="str">
        <f>IF(Qte!Q18="","",IF(Qte!Q18=0,"",IF($E18="","",IF($E18=0,"",Qte!Q18*$E18))))</f>
        <v/>
      </c>
      <c r="R18" s="5" t="str">
        <f>IF(Qte!R18="","",IF(Qte!R18=0,"",IF($E18="","",IF($E18=0,"",Qte!R18*$E18))))</f>
        <v/>
      </c>
    </row>
    <row r="19" spans="1:18">
      <c r="A19" s="12" t="s">
        <v>47</v>
      </c>
      <c r="B19" s="12" t="s">
        <v>50</v>
      </c>
      <c r="C19" s="12">
        <v>5</v>
      </c>
      <c r="D19" s="12">
        <v>1</v>
      </c>
      <c r="E19" s="14">
        <f>Feuil1!J19</f>
        <v>1208</v>
      </c>
      <c r="F19" s="8">
        <f>E19/C19</f>
        <v>241.6</v>
      </c>
      <c r="G19" s="12">
        <f>Feuil1!L19</f>
        <v>0</v>
      </c>
      <c r="H19" t="str">
        <f>IF(OR(G19="",G19=0,C19="",C19=0,D19="",D19=0),"",3*G19*C19/D19*Feuil1!$B$2/200+1)</f>
        <v/>
      </c>
      <c r="I19" t="str">
        <f t="shared" si="0"/>
        <v/>
      </c>
      <c r="J19" s="5" t="str">
        <f>IF(Qte!J19="","",IF(Qte!J19=0,"",IF($E19="","",IF($E19=0,"",Qte!J19*$E19))))</f>
        <v/>
      </c>
      <c r="K19" s="5" t="str">
        <f>IF(Qte!K19="","",IF(Qte!K19=0,"",IF($E19="","",IF($E19=0,"",Qte!K19*$E19))))</f>
        <v/>
      </c>
      <c r="L19" s="5" t="str">
        <f>IF(Qte!L19="","",IF(Qte!L19=0,"",IF($E19="","",IF($E19=0,"",Qte!L19*$E19))))</f>
        <v/>
      </c>
      <c r="M19" s="5" t="str">
        <f>IF(Qte!M19="","",IF(Qte!M19=0,"",IF($E19="","",IF($E19=0,"",Qte!M19*$E19))))</f>
        <v/>
      </c>
      <c r="N19" s="5" t="str">
        <f>IF(Qte!N19="","",IF(Qte!N19=0,"",IF($E19="","",IF($E19=0,"",Qte!N19*$E19))))</f>
        <v/>
      </c>
      <c r="O19" s="5" t="str">
        <f>IF(Qte!O19="","",IF(Qte!O19=0,"",IF($E19="","",IF($E19=0,"",Qte!O19*$E19))))</f>
        <v/>
      </c>
      <c r="P19" s="5" t="str">
        <f>IF(Qte!P19="","",IF(Qte!P19=0,"",IF($E19="","",IF($E19=0,"",Qte!P19*$E19))))</f>
        <v/>
      </c>
      <c r="Q19" s="5" t="str">
        <f>IF(Qte!Q19="","",IF(Qte!Q19=0,"",IF($E19="","",IF($E19=0,"",Qte!Q19*$E19))))</f>
        <v/>
      </c>
      <c r="R19" s="5" t="str">
        <f>IF(Qte!R19="","",IF(Qte!R19=0,"",IF($E19="","",IF($E19=0,"",Qte!R19*$E19))))</f>
        <v/>
      </c>
    </row>
    <row r="20" spans="1:18">
      <c r="A20" s="12" t="s">
        <v>49</v>
      </c>
      <c r="B20" s="12" t="s">
        <v>48</v>
      </c>
      <c r="C20" s="12">
        <v>5</v>
      </c>
      <c r="D20" s="12">
        <v>1</v>
      </c>
      <c r="E20" s="14">
        <f>Feuil1!J20</f>
        <v>951</v>
      </c>
      <c r="F20" s="8">
        <f>E20/C20</f>
        <v>190.2</v>
      </c>
      <c r="G20" s="12">
        <f>Feuil1!L20</f>
        <v>0</v>
      </c>
      <c r="H20" t="str">
        <f>IF(OR(G20="",G20=0,C20="",C20=0,D20="",D20=0),"",3*G20*C20/D20*Feuil1!$B$2/200+1)</f>
        <v/>
      </c>
      <c r="I20" t="str">
        <f t="shared" si="0"/>
        <v/>
      </c>
      <c r="J20" s="5" t="str">
        <f>IF(Qte!J20="","",IF(Qte!J20=0,"",IF($E20="","",IF($E20=0,"",Qte!J20*$E20))))</f>
        <v/>
      </c>
      <c r="K20" s="5" t="str">
        <f>IF(Qte!K20="","",IF(Qte!K20=0,"",IF($E20="","",IF($E20=0,"",Qte!K20*$E20))))</f>
        <v/>
      </c>
      <c r="L20" s="5" t="str">
        <f>IF(Qte!L20="","",IF(Qte!L20=0,"",IF($E20="","",IF($E20=0,"",Qte!L20*$E20))))</f>
        <v/>
      </c>
      <c r="M20" s="5" t="str">
        <f>IF(Qte!M20="","",IF(Qte!M20=0,"",IF($E20="","",IF($E20=0,"",Qte!M20*$E20))))</f>
        <v/>
      </c>
      <c r="N20" s="5" t="str">
        <f>IF(Qte!N20="","",IF(Qte!N20=0,"",IF($E20="","",IF($E20=0,"",Qte!N20*$E20))))</f>
        <v/>
      </c>
      <c r="O20" s="5" t="str">
        <f>IF(Qte!O20="","",IF(Qte!O20=0,"",IF($E20="","",IF($E20=0,"",Qte!O20*$E20))))</f>
        <v/>
      </c>
      <c r="P20" s="5" t="str">
        <f>IF(Qte!P20="","",IF(Qte!P20=0,"",IF($E20="","",IF($E20=0,"",Qte!P20*$E20))))</f>
        <v/>
      </c>
      <c r="Q20" s="5" t="str">
        <f>IF(Qte!Q20="","",IF(Qte!Q20=0,"",IF($E20="","",IF($E20=0,"",Qte!Q20*$E20))))</f>
        <v/>
      </c>
      <c r="R20" s="5" t="str">
        <f>IF(Qte!R20="","",IF(Qte!R20=0,"",IF($E20="","",IF($E20=0,"",Qte!R20*$E20))))</f>
        <v/>
      </c>
    </row>
    <row r="21" spans="1:18">
      <c r="A21" s="12" t="s">
        <v>51</v>
      </c>
      <c r="B21" s="12" t="s">
        <v>52</v>
      </c>
      <c r="C21" s="12">
        <v>5</v>
      </c>
      <c r="D21" s="12">
        <v>1</v>
      </c>
      <c r="E21" s="14">
        <f>Feuil1!J21</f>
        <v>1143</v>
      </c>
      <c r="F21" s="8">
        <f>E21/C21</f>
        <v>228.6</v>
      </c>
      <c r="G21" s="12">
        <f>Feuil1!L21</f>
        <v>0</v>
      </c>
      <c r="H21" t="str">
        <f>IF(OR(G21="",G21=0,C21="",C21=0,D21="",D21=0),"",3*G21*C21/D21*Feuil1!$B$2/200+1)</f>
        <v/>
      </c>
      <c r="I21" t="str">
        <f t="shared" si="0"/>
        <v/>
      </c>
      <c r="J21" s="5" t="str">
        <f>IF(Qte!J21="","",IF(Qte!J21=0,"",IF($E21="","",IF($E21=0,"",Qte!J21*$E21))))</f>
        <v/>
      </c>
      <c r="K21" s="5" t="str">
        <f>IF(Qte!K21="","",IF(Qte!K21=0,"",IF($E21="","",IF($E21=0,"",Qte!K21*$E21))))</f>
        <v/>
      </c>
      <c r="L21" s="5" t="str">
        <f>IF(Qte!L21="","",IF(Qte!L21=0,"",IF($E21="","",IF($E21=0,"",Qte!L21*$E21))))</f>
        <v/>
      </c>
      <c r="M21" s="5" t="str">
        <f>IF(Qte!M21="","",IF(Qte!M21=0,"",IF($E21="","",IF($E21=0,"",Qte!M21*$E21))))</f>
        <v/>
      </c>
      <c r="N21" s="5" t="str">
        <f>IF(Qte!N21="","",IF(Qte!N21=0,"",IF($E21="","",IF($E21=0,"",Qte!N21*$E21))))</f>
        <v/>
      </c>
      <c r="O21" s="5" t="str">
        <f>IF(Qte!O21="","",IF(Qte!O21=0,"",IF($E21="","",IF($E21=0,"",Qte!O21*$E21))))</f>
        <v/>
      </c>
      <c r="P21" s="5" t="str">
        <f>IF(Qte!P21="","",IF(Qte!P21=0,"",IF($E21="","",IF($E21=0,"",Qte!P21*$E21))))</f>
        <v/>
      </c>
      <c r="Q21" s="5" t="str">
        <f>IF(Qte!Q21="","",IF(Qte!Q21=0,"",IF($E21="","",IF($E21=0,"",Qte!Q21*$E21))))</f>
        <v/>
      </c>
      <c r="R21" s="5" t="str">
        <f>IF(Qte!R21="","",IF(Qte!R21=0,"",IF($E21="","",IF($E21=0,"",Qte!R21*$E21))))</f>
        <v/>
      </c>
    </row>
    <row r="22" spans="1:18">
      <c r="A22" s="12" t="s">
        <v>53</v>
      </c>
      <c r="B22" s="12" t="s">
        <v>54</v>
      </c>
      <c r="C22" s="12">
        <v>5</v>
      </c>
      <c r="D22" s="12">
        <v>1</v>
      </c>
      <c r="E22" s="14">
        <f>Feuil1!J22</f>
        <v>315</v>
      </c>
      <c r="F22" s="8">
        <f>E22/C22</f>
        <v>63</v>
      </c>
      <c r="G22" s="12">
        <f>Feuil1!L22</f>
        <v>0</v>
      </c>
      <c r="H22" t="str">
        <f>IF(OR(G22="",G22=0,C22="",C22=0,D22="",D22=0),"",3*G22*C22/D22*Feuil1!$B$2/200+1)</f>
        <v/>
      </c>
      <c r="I22" t="str">
        <f t="shared" si="0"/>
        <v/>
      </c>
      <c r="J22" s="5" t="str">
        <f>IF(Qte!J22="","",IF(Qte!J22=0,"",IF($E22="","",IF($E22=0,"",Qte!J22*$E22))))</f>
        <v/>
      </c>
      <c r="K22" s="5" t="str">
        <f>IF(Qte!K22="","",IF(Qte!K22=0,"",IF($E22="","",IF($E22=0,"",Qte!K22*$E22))))</f>
        <v/>
      </c>
      <c r="L22" s="5" t="str">
        <f>IF(Qte!L22="","",IF(Qte!L22=0,"",IF($E22="","",IF($E22=0,"",Qte!L22*$E22))))</f>
        <v/>
      </c>
      <c r="M22" s="5" t="str">
        <f>IF(Qte!M22="","",IF(Qte!M22=0,"",IF($E22="","",IF($E22=0,"",Qte!M22*$E22))))</f>
        <v/>
      </c>
      <c r="N22" s="5" t="str">
        <f>IF(Qte!N22="","",IF(Qte!N22=0,"",IF($E22="","",IF($E22=0,"",Qte!N22*$E22))))</f>
        <v/>
      </c>
      <c r="O22" s="5" t="str">
        <f>IF(Qte!O22="","",IF(Qte!O22=0,"",IF($E22="","",IF($E22=0,"",Qte!O22*$E22))))</f>
        <v/>
      </c>
      <c r="P22" s="5" t="str">
        <f>IF(Qte!P22="","",IF(Qte!P22=0,"",IF($E22="","",IF($E22=0,"",Qte!P22*$E22))))</f>
        <v/>
      </c>
      <c r="Q22" s="5" t="str">
        <f>IF(Qte!Q22="","",IF(Qte!Q22=0,"",IF($E22="","",IF($E22=0,"",Qte!Q22*$E22))))</f>
        <v/>
      </c>
      <c r="R22" s="5" t="str">
        <f>IF(Qte!R22="","",IF(Qte!R22=0,"",IF($E22="","",IF($E22=0,"",Qte!R22*$E22))))</f>
        <v/>
      </c>
    </row>
    <row r="23" spans="1:18">
      <c r="A23" s="12" t="s">
        <v>55</v>
      </c>
      <c r="B23" s="12" t="s">
        <v>54</v>
      </c>
      <c r="C23" s="12">
        <v>5</v>
      </c>
      <c r="D23" s="12">
        <v>1</v>
      </c>
      <c r="E23" s="14">
        <f>Feuil1!J23</f>
        <v>244</v>
      </c>
      <c r="F23" s="8">
        <f>E23/C23</f>
        <v>48.8</v>
      </c>
      <c r="G23" s="12">
        <f>Feuil1!L23</f>
        <v>0</v>
      </c>
      <c r="H23" t="str">
        <f>IF(OR(G23="",G23=0,C23="",C23=0,D23="",D23=0),"",3*G23*C23/D23*Feuil1!$B$2/200+1)</f>
        <v/>
      </c>
      <c r="I23" t="str">
        <f t="shared" si="0"/>
        <v/>
      </c>
      <c r="J23" s="5" t="str">
        <f>IF(Qte!J23="","",IF(Qte!J23=0,"",IF($E23="","",IF($E23=0,"",Qte!J23*$E23))))</f>
        <v/>
      </c>
      <c r="K23" s="5" t="str">
        <f>IF(Qte!K23="","",IF(Qte!K23=0,"",IF($E23="","",IF($E23=0,"",Qte!K23*$E23))))</f>
        <v/>
      </c>
      <c r="L23" s="5" t="str">
        <f>IF(Qte!L23="","",IF(Qte!L23=0,"",IF($E23="","",IF($E23=0,"",Qte!L23*$E23))))</f>
        <v/>
      </c>
      <c r="M23" s="5" t="str">
        <f>IF(Qte!M23="","",IF(Qte!M23=0,"",IF($E23="","",IF($E23=0,"",Qte!M23*$E23))))</f>
        <v/>
      </c>
      <c r="N23" s="5" t="str">
        <f>IF(Qte!N23="","",IF(Qte!N23=0,"",IF($E23="","",IF($E23=0,"",Qte!N23*$E23))))</f>
        <v/>
      </c>
      <c r="O23" s="5" t="str">
        <f>IF(Qte!O23="","",IF(Qte!O23=0,"",IF($E23="","",IF($E23=0,"",Qte!O23*$E23))))</f>
        <v/>
      </c>
      <c r="P23" s="5" t="str">
        <f>IF(Qte!P23="","",IF(Qte!P23=0,"",IF($E23="","",IF($E23=0,"",Qte!P23*$E23))))</f>
        <v/>
      </c>
      <c r="Q23" s="5" t="str">
        <f>IF(Qte!Q23="","",IF(Qte!Q23=0,"",IF($E23="","",IF($E23=0,"",Qte!Q23*$E23))))</f>
        <v/>
      </c>
      <c r="R23" s="5" t="str">
        <f>IF(Qte!R23="","",IF(Qte!R23=0,"",IF($E23="","",IF($E23=0,"",Qte!R23*$E23))))</f>
        <v/>
      </c>
    </row>
    <row r="24" spans="1:18">
      <c r="A24" s="12" t="s">
        <v>56</v>
      </c>
      <c r="B24" s="12" t="s">
        <v>57</v>
      </c>
      <c r="C24" s="12">
        <v>5</v>
      </c>
      <c r="D24" s="12">
        <v>1</v>
      </c>
      <c r="E24" s="14">
        <f>Feuil1!J24</f>
        <v>1188</v>
      </c>
      <c r="F24" s="8">
        <f>E24/C24</f>
        <v>237.6</v>
      </c>
      <c r="G24" s="12">
        <f>Feuil1!L24</f>
        <v>0</v>
      </c>
      <c r="H24" t="str">
        <f>IF(OR(G24="",G24=0,C24="",C24=0,D24="",D24=0),"",3*G24*C24/D24*Feuil1!$B$2/200+1)</f>
        <v/>
      </c>
      <c r="I24" t="str">
        <f t="shared" si="0"/>
        <v/>
      </c>
      <c r="J24" s="5" t="str">
        <f>IF(Qte!J24="","",IF(Qte!J24=0,"",IF($E24="","",IF($E24=0,"",Qte!J24*$E24))))</f>
        <v/>
      </c>
      <c r="K24" s="5" t="str">
        <f>IF(Qte!K24="","",IF(Qte!K24=0,"",IF($E24="","",IF($E24=0,"",Qte!K24*$E24))))</f>
        <v/>
      </c>
      <c r="L24" s="5" t="str">
        <f>IF(Qte!L24="","",IF(Qte!L24=0,"",IF($E24="","",IF($E24=0,"",Qte!L24*$E24))))</f>
        <v/>
      </c>
      <c r="M24" s="5" t="str">
        <f>IF(Qte!M24="","",IF(Qte!M24=0,"",IF($E24="","",IF($E24=0,"",Qte!M24*$E24))))</f>
        <v/>
      </c>
      <c r="N24" s="5" t="str">
        <f>IF(Qte!N24="","",IF(Qte!N24=0,"",IF($E24="","",IF($E24=0,"",Qte!N24*$E24))))</f>
        <v/>
      </c>
      <c r="O24" s="5" t="str">
        <f>IF(Qte!O24="","",IF(Qte!O24=0,"",IF($E24="","",IF($E24=0,"",Qte!O24*$E24))))</f>
        <v/>
      </c>
      <c r="P24" s="5" t="str">
        <f>IF(Qte!P24="","",IF(Qte!P24=0,"",IF($E24="","",IF($E24=0,"",Qte!P24*$E24))))</f>
        <v/>
      </c>
      <c r="Q24" s="5" t="str">
        <f>IF(Qte!Q24="","",IF(Qte!Q24=0,"",IF($E24="","",IF($E24=0,"",Qte!Q24*$E24))))</f>
        <v/>
      </c>
      <c r="R24" s="5" t="str">
        <f>IF(Qte!R24="","",IF(Qte!R24=0,"",IF($E24="","",IF($E24=0,"",Qte!R24*$E24))))</f>
        <v/>
      </c>
    </row>
    <row r="25" spans="1:18">
      <c r="A25" s="12" t="s">
        <v>58</v>
      </c>
      <c r="B25" s="12" t="s">
        <v>59</v>
      </c>
      <c r="C25" s="12">
        <v>5</v>
      </c>
      <c r="D25" s="12">
        <v>1</v>
      </c>
      <c r="E25" s="14">
        <f>Feuil1!J25</f>
        <v>736</v>
      </c>
      <c r="F25" s="8">
        <f>E25/C25</f>
        <v>147.19999999999999</v>
      </c>
      <c r="G25" s="12">
        <f>Feuil1!L25</f>
        <v>0</v>
      </c>
      <c r="H25" t="str">
        <f>IF(OR(G25="",G25=0,C25="",C25=0,D25="",D25=0),"",3*G25*C25/D25*Feuil1!$B$2/200+1)</f>
        <v/>
      </c>
      <c r="I25" t="str">
        <f t="shared" si="0"/>
        <v/>
      </c>
      <c r="J25" s="5" t="str">
        <f>IF(Qte!J25="","",IF(Qte!J25=0,"",IF($E25="","",IF($E25=0,"",Qte!J25*$E25))))</f>
        <v/>
      </c>
      <c r="K25" s="5" t="str">
        <f>IF(Qte!K25="","",IF(Qte!K25=0,"",IF($E25="","",IF($E25=0,"",Qte!K25*$E25))))</f>
        <v/>
      </c>
      <c r="L25" s="5" t="str">
        <f>IF(Qte!L25="","",IF(Qte!L25=0,"",IF($E25="","",IF($E25=0,"",Qte!L25*$E25))))</f>
        <v/>
      </c>
      <c r="M25" s="5" t="str">
        <f>IF(Qte!M25="","",IF(Qte!M25=0,"",IF($E25="","",IF($E25=0,"",Qte!M25*$E25))))</f>
        <v/>
      </c>
      <c r="N25" s="5" t="str">
        <f>IF(Qte!N25="","",IF(Qte!N25=0,"",IF($E25="","",IF($E25=0,"",Qte!N25*$E25))))</f>
        <v/>
      </c>
      <c r="O25" s="5" t="str">
        <f>IF(Qte!O25="","",IF(Qte!O25=0,"",IF($E25="","",IF($E25=0,"",Qte!O25*$E25))))</f>
        <v/>
      </c>
      <c r="P25" s="5" t="str">
        <f>IF(Qte!P25="","",IF(Qte!P25=0,"",IF($E25="","",IF($E25=0,"",Qte!P25*$E25))))</f>
        <v/>
      </c>
      <c r="Q25" s="5" t="str">
        <f>IF(Qte!Q25="","",IF(Qte!Q25=0,"",IF($E25="","",IF($E25=0,"",Qte!Q25*$E25))))</f>
        <v/>
      </c>
      <c r="R25" s="5" t="str">
        <f>IF(Qte!R25="","",IF(Qte!R25=0,"",IF($E25="","",IF($E25=0,"",Qte!R25*$E25))))</f>
        <v/>
      </c>
    </row>
    <row r="26" spans="1:18">
      <c r="A26" s="12" t="s">
        <v>60</v>
      </c>
      <c r="B26" s="12" t="s">
        <v>61</v>
      </c>
      <c r="C26" s="12">
        <v>7</v>
      </c>
      <c r="D26" s="12">
        <v>1</v>
      </c>
      <c r="E26" s="14">
        <f>Feuil1!J26</f>
        <v>580</v>
      </c>
      <c r="F26" s="8">
        <f>E26/C26</f>
        <v>82.857142857142861</v>
      </c>
      <c r="G26" s="12">
        <f>Feuil1!L26</f>
        <v>0</v>
      </c>
      <c r="H26" t="str">
        <f>IF(OR(G26="",G26=0,C26="",C26=0,D26="",D26=0),"",3*G26*C26/D26*Feuil1!$B$2/200+1)</f>
        <v/>
      </c>
      <c r="I26" t="str">
        <f t="shared" si="0"/>
        <v/>
      </c>
      <c r="J26" s="5" t="str">
        <f>IF(Qte!J26="","",IF(Qte!J26=0,"",IF($E26="","",IF($E26=0,"",Qte!J26*$E26))))</f>
        <v/>
      </c>
      <c r="K26" s="5" t="str">
        <f>IF(Qte!K26="","",IF(Qte!K26=0,"",IF($E26="","",IF($E26=0,"",Qte!K26*$E26))))</f>
        <v/>
      </c>
      <c r="L26" s="5" t="str">
        <f>IF(Qte!L26="","",IF(Qte!L26=0,"",IF($E26="","",IF($E26=0,"",Qte!L26*$E26))))</f>
        <v/>
      </c>
      <c r="M26" s="5" t="str">
        <f>IF(Qte!M26="","",IF(Qte!M26=0,"",IF($E26="","",IF($E26=0,"",Qte!M26*$E26))))</f>
        <v/>
      </c>
      <c r="N26" s="5" t="str">
        <f>IF(Qte!N26="","",IF(Qte!N26=0,"",IF($E26="","",IF($E26=0,"",Qte!N26*$E26))))</f>
        <v/>
      </c>
      <c r="O26" s="5" t="str">
        <f>IF(Qte!O26="","",IF(Qte!O26=0,"",IF($E26="","",IF($E26=0,"",Qte!O26*$E26))))</f>
        <v/>
      </c>
      <c r="P26" s="5" t="str">
        <f>IF(Qte!P26="","",IF(Qte!P26=0,"",IF($E26="","",IF($E26=0,"",Qte!P26*$E26))))</f>
        <v/>
      </c>
      <c r="Q26" s="5" t="str">
        <f>IF(Qte!Q26="","",IF(Qte!Q26=0,"",IF($E26="","",IF($E26=0,"",Qte!Q26*$E26))))</f>
        <v/>
      </c>
      <c r="R26" s="5" t="str">
        <f>IF(Qte!R26="","",IF(Qte!R26=0,"",IF($E26="","",IF($E26=0,"",Qte!R26*$E26))))</f>
        <v/>
      </c>
    </row>
    <row r="27" spans="1:18">
      <c r="A27" s="12" t="s">
        <v>62</v>
      </c>
      <c r="B27" s="12" t="s">
        <v>63</v>
      </c>
      <c r="C27" s="12">
        <v>7</v>
      </c>
      <c r="D27" s="12">
        <v>1</v>
      </c>
      <c r="E27" s="14">
        <f>Feuil1!J27</f>
        <v>330</v>
      </c>
      <c r="F27" s="8">
        <f>E27/C27</f>
        <v>47.142857142857146</v>
      </c>
      <c r="G27" s="12">
        <f>Feuil1!L27</f>
        <v>0</v>
      </c>
      <c r="H27" t="str">
        <f>IF(OR(G27="",G27=0,C27="",C27=0,D27="",D27=0),"",3*G27*C27/D27*Feuil1!$B$2/200+1)</f>
        <v/>
      </c>
      <c r="I27" t="str">
        <f t="shared" si="0"/>
        <v/>
      </c>
      <c r="J27" s="5" t="str">
        <f>IF(Qte!J27="","",IF(Qte!J27=0,"",IF($E27="","",IF($E27=0,"",Qte!J27*$E27))))</f>
        <v/>
      </c>
      <c r="K27" s="5" t="str">
        <f>IF(Qte!K27="","",IF(Qte!K27=0,"",IF($E27="","",IF($E27=0,"",Qte!K27*$E27))))</f>
        <v/>
      </c>
      <c r="L27" s="5" t="str">
        <f>IF(Qte!L27="","",IF(Qte!L27=0,"",IF($E27="","",IF($E27=0,"",Qte!L27*$E27))))</f>
        <v/>
      </c>
      <c r="M27" s="5" t="str">
        <f>IF(Qte!M27="","",IF(Qte!M27=0,"",IF($E27="","",IF($E27=0,"",Qte!M27*$E27))))</f>
        <v/>
      </c>
      <c r="N27" s="5" t="str">
        <f>IF(Qte!N27="","",IF(Qte!N27=0,"",IF($E27="","",IF($E27=0,"",Qte!N27*$E27))))</f>
        <v/>
      </c>
      <c r="O27" s="5" t="str">
        <f>IF(Qte!O27="","",IF(Qte!O27=0,"",IF($E27="","",IF($E27=0,"",Qte!O27*$E27))))</f>
        <v/>
      </c>
      <c r="P27" s="5" t="str">
        <f>IF(Qte!P27="","",IF(Qte!P27=0,"",IF($E27="","",IF($E27=0,"",Qte!P27*$E27))))</f>
        <v/>
      </c>
      <c r="Q27" s="5" t="str">
        <f>IF(Qte!Q27="","",IF(Qte!Q27=0,"",IF($E27="","",IF($E27=0,"",Qte!Q27*$E27))))</f>
        <v/>
      </c>
      <c r="R27" s="5" t="str">
        <f>IF(Qte!R27="","",IF(Qte!R27=0,"",IF($E27="","",IF($E27=0,"",Qte!R27*$E27))))</f>
        <v/>
      </c>
    </row>
    <row r="28" spans="1:18">
      <c r="A28" s="12" t="s">
        <v>64</v>
      </c>
      <c r="B28" s="12" t="s">
        <v>65</v>
      </c>
      <c r="C28" s="12">
        <v>1</v>
      </c>
      <c r="D28" s="12">
        <v>1</v>
      </c>
      <c r="E28" s="14">
        <f>Feuil1!J28</f>
        <v>70</v>
      </c>
      <c r="F28" s="8">
        <f>E28/C28</f>
        <v>70</v>
      </c>
      <c r="G28" s="12">
        <f>Feuil1!L28</f>
        <v>0</v>
      </c>
      <c r="H28" t="str">
        <f>IF(OR(G28="",G28=0,C28="",C28=0,D28="",D28=0),"",3*G28*C28/D28*Feuil1!$B$2/200+1)</f>
        <v/>
      </c>
      <c r="I28" t="str">
        <f t="shared" si="0"/>
        <v/>
      </c>
      <c r="J28" s="5" t="str">
        <f>IF(Qte!J28="","",IF(Qte!J28=0,"",IF($E28="","",IF($E28=0,"",Qte!J28*$E28))))</f>
        <v/>
      </c>
      <c r="K28" s="5" t="str">
        <f>IF(Qte!K28="","",IF(Qte!K28=0,"",IF($E28="","",IF($E28=0,"",Qte!K28*$E28))))</f>
        <v/>
      </c>
      <c r="L28" s="5" t="str">
        <f>IF(Qte!L28="","",IF(Qte!L28=0,"",IF($E28="","",IF($E28=0,"",Qte!L28*$E28))))</f>
        <v/>
      </c>
      <c r="M28" s="5" t="str">
        <f>IF(Qte!M28="","",IF(Qte!M28=0,"",IF($E28="","",IF($E28=0,"",Qte!M28*$E28))))</f>
        <v/>
      </c>
      <c r="N28" s="5" t="str">
        <f>IF(Qte!N28="","",IF(Qte!N28=0,"",IF($E28="","",IF($E28=0,"",Qte!N28*$E28))))</f>
        <v/>
      </c>
      <c r="O28" s="5" t="str">
        <f>IF(Qte!O28="","",IF(Qte!O28=0,"",IF($E28="","",IF($E28=0,"",Qte!O28*$E28))))</f>
        <v/>
      </c>
      <c r="P28" s="5" t="str">
        <f>IF(Qte!P28="","",IF(Qte!P28=0,"",IF($E28="","",IF($E28=0,"",Qte!P28*$E28))))</f>
        <v/>
      </c>
      <c r="Q28" s="5" t="str">
        <f>IF(Qte!Q28="","",IF(Qte!Q28=0,"",IF($E28="","",IF($E28=0,"",Qte!Q28*$E28))))</f>
        <v/>
      </c>
      <c r="R28" s="5" t="str">
        <f>IF(Qte!R28="","",IF(Qte!R28=0,"",IF($E28="","",IF($E28=0,"",Qte!R28*$E28))))</f>
        <v/>
      </c>
    </row>
    <row r="29" spans="1:18">
      <c r="A29" s="12" t="s">
        <v>66</v>
      </c>
      <c r="B29" s="12" t="s">
        <v>67</v>
      </c>
      <c r="C29" s="12">
        <v>4</v>
      </c>
      <c r="D29" s="12">
        <v>1</v>
      </c>
      <c r="E29" s="14">
        <f>Feuil1!J29</f>
        <v>391</v>
      </c>
      <c r="F29" s="8">
        <f>E29/C29</f>
        <v>97.75</v>
      </c>
      <c r="G29" s="12">
        <f>Feuil1!L29</f>
        <v>0</v>
      </c>
      <c r="H29" t="str">
        <f>IF(OR(G29="",G29=0,C29="",C29=0,D29="",D29=0),"",3*G29*C29/D29*Feuil1!$B$2/200+1)</f>
        <v/>
      </c>
      <c r="I29" t="str">
        <f t="shared" si="0"/>
        <v/>
      </c>
      <c r="J29" s="5" t="str">
        <f>IF(Qte!J29="","",IF(Qte!J29=0,"",IF($E29="","",IF($E29=0,"",Qte!J29*$E29))))</f>
        <v/>
      </c>
      <c r="K29" s="5" t="str">
        <f>IF(Qte!K29="","",IF(Qte!K29=0,"",IF($E29="","",IF($E29=0,"",Qte!K29*$E29))))</f>
        <v/>
      </c>
      <c r="L29" s="5" t="str">
        <f>IF(Qte!L29="","",IF(Qte!L29=0,"",IF($E29="","",IF($E29=0,"",Qte!L29*$E29))))</f>
        <v/>
      </c>
      <c r="M29" s="5" t="str">
        <f>IF(Qte!M29="","",IF(Qte!M29=0,"",IF($E29="","",IF($E29=0,"",Qte!M29*$E29))))</f>
        <v/>
      </c>
      <c r="N29" s="5" t="str">
        <f>IF(Qte!N29="","",IF(Qte!N29=0,"",IF($E29="","",IF($E29=0,"",Qte!N29*$E29))))</f>
        <v/>
      </c>
      <c r="O29" s="5" t="str">
        <f>IF(Qte!O29="","",IF(Qte!O29=0,"",IF($E29="","",IF($E29=0,"",Qte!O29*$E29))))</f>
        <v/>
      </c>
      <c r="P29" s="5" t="str">
        <f>IF(Qte!P29="","",IF(Qte!P29=0,"",IF($E29="","",IF($E29=0,"",Qte!P29*$E29))))</f>
        <v/>
      </c>
      <c r="Q29" s="5" t="str">
        <f>IF(Qte!Q29="","",IF(Qte!Q29=0,"",IF($E29="","",IF($E29=0,"",Qte!Q29*$E29))))</f>
        <v/>
      </c>
      <c r="R29" s="5" t="str">
        <f>IF(Qte!R29="","",IF(Qte!R29=0,"",IF($E29="","",IF($E29=0,"",Qte!R29*$E29))))</f>
        <v/>
      </c>
    </row>
    <row r="30" spans="1:18">
      <c r="A30" s="12" t="s">
        <v>68</v>
      </c>
      <c r="B30" s="12" t="s">
        <v>69</v>
      </c>
      <c r="C30" s="12">
        <v>1</v>
      </c>
      <c r="D30" s="12">
        <v>10</v>
      </c>
      <c r="E30" s="14">
        <f>Feuil1!J30</f>
        <v>75</v>
      </c>
      <c r="F30" s="8">
        <f>E30/C30</f>
        <v>75</v>
      </c>
      <c r="G30" s="12">
        <f>Feuil1!L30</f>
        <v>0</v>
      </c>
      <c r="H30" t="str">
        <f>IF(OR(G30="",G30=0,C30="",C30=0,D30="",D30=0),"",3*G30*C30/D30*Feuil1!$B$2/200+1)</f>
        <v/>
      </c>
      <c r="I30" t="str">
        <f t="shared" si="0"/>
        <v/>
      </c>
      <c r="J30" s="5" t="str">
        <f>IF(Qte!J30="","",IF(Qte!J30=0,"",IF($E30="","",IF($E30=0,"",Qte!J30*$E30))))</f>
        <v/>
      </c>
      <c r="K30" s="5" t="str">
        <f>IF(Qte!K30="","",IF(Qte!K30=0,"",IF($E30="","",IF($E30=0,"",Qte!K30*$E30))))</f>
        <v/>
      </c>
      <c r="L30" s="5" t="str">
        <f>IF(Qte!L30="","",IF(Qte!L30=0,"",IF($E30="","",IF($E30=0,"",Qte!L30*$E30))))</f>
        <v/>
      </c>
      <c r="M30" s="5" t="str">
        <f>IF(Qte!M30="","",IF(Qte!M30=0,"",IF($E30="","",IF($E30=0,"",Qte!M30*$E30))))</f>
        <v/>
      </c>
      <c r="N30" s="5" t="str">
        <f>IF(Qte!N30="","",IF(Qte!N30=0,"",IF($E30="","",IF($E30=0,"",Qte!N30*$E30))))</f>
        <v/>
      </c>
      <c r="O30" s="5" t="str">
        <f>IF(Qte!O30="","",IF(Qte!O30=0,"",IF($E30="","",IF($E30=0,"",Qte!O30*$E30))))</f>
        <v/>
      </c>
      <c r="P30" s="5" t="str">
        <f>IF(Qte!P30="","",IF(Qte!P30=0,"",IF($E30="","",IF($E30=0,"",Qte!P30*$E30))))</f>
        <v/>
      </c>
      <c r="Q30" s="5" t="str">
        <f>IF(Qte!Q30="","",IF(Qte!Q30=0,"",IF($E30="","",IF($E30=0,"",Qte!Q30*$E30))))</f>
        <v/>
      </c>
      <c r="R30" s="5" t="str">
        <f>IF(Qte!R30="","",IF(Qte!R30=0,"",IF($E30="","",IF($E30=0,"",Qte!R30*$E30))))</f>
        <v/>
      </c>
    </row>
    <row r="31" spans="1:18">
      <c r="A31" s="12" t="s">
        <v>70</v>
      </c>
      <c r="B31" s="12" t="s">
        <v>71</v>
      </c>
      <c r="C31" s="12">
        <v>1</v>
      </c>
      <c r="D31" s="12">
        <v>1</v>
      </c>
      <c r="E31" s="14">
        <f>Feuil1!J31</f>
        <v>57</v>
      </c>
      <c r="F31" s="8">
        <f>E31/C31</f>
        <v>57</v>
      </c>
      <c r="G31" s="12">
        <f>Feuil1!L31</f>
        <v>30</v>
      </c>
      <c r="H31">
        <f>IF(OR(G31="",G31=0,C31="",C31=0,D31="",D31=0),"",3*G31*C31/D31*Feuil1!$B$2/200+1)</f>
        <v>36.549999999999997</v>
      </c>
      <c r="I31">
        <f t="shared" si="0"/>
        <v>168.4</v>
      </c>
      <c r="J31" s="5">
        <f>IF(Qte!J31="","",IF(Qte!J31=0,"",IF($E31="","",IF($E31=0,"",Qte!J31*$E31))))</f>
        <v>9598.8000000000011</v>
      </c>
      <c r="K31" s="5">
        <f>IF(Qte!K31="","",IF(Qte!K31=0,"",IF($E31="","",IF($E31=0,"",Qte!K31*$E31))))</f>
        <v>1343.8320000000001</v>
      </c>
      <c r="L31" s="5">
        <f>IF(Qte!L31="","",IF(Qte!L31=0,"",IF($E31="","",IF($E31=0,"",Qte!L31*$E31))))</f>
        <v>1343.3373579860006</v>
      </c>
      <c r="M31" s="5">
        <f>IF(Qte!M31="","",IF(Qte!M31=0,"",IF($E31="","",IF($E31=0,"",Qte!M31*$E31))))</f>
        <v>1342.8430799861185</v>
      </c>
      <c r="N31" s="5">
        <f>IF(Qte!N31="","",IF(Qte!N31=0,"",IF($E31="","",IF($E31=0,"",Qte!N31*$E31))))</f>
        <v>1342.3491655986688</v>
      </c>
      <c r="O31" s="5">
        <f>IF(Qte!O31="","",IF(Qte!O31=0,"",IF($E31="","",IF($E31=0,"",Qte!O31*$E31))))</f>
        <v>1338.9019124170047</v>
      </c>
      <c r="P31" s="5">
        <f>IF(Qte!P31="","",IF(Qte!P31=0,"",IF($E31="","",IF($E31=0,"",Qte!P31*$E31))))</f>
        <v>1296.1069538563063</v>
      </c>
      <c r="Q31" s="5">
        <f>IF(Qte!Q31="","",IF(Qte!Q31=0,"",IF($E31="","",IF($E31=0,"",Qte!Q31*$E31))))</f>
        <v>982.17826823262271</v>
      </c>
      <c r="R31" s="5">
        <f>IF(Qte!R31="","",IF(Qte!R31=0,"",IF($E31="","",IF($E31=0,"",Qte!R31*$E31))))</f>
        <v>1296.1069538563063</v>
      </c>
    </row>
    <row r="32" spans="1:18">
      <c r="A32" s="12" t="s">
        <v>72</v>
      </c>
      <c r="B32" s="12" t="s">
        <v>73</v>
      </c>
      <c r="C32" s="12">
        <v>30</v>
      </c>
      <c r="D32" s="12">
        <v>1</v>
      </c>
      <c r="E32" s="14">
        <f>Feuil1!J32</f>
        <v>5297</v>
      </c>
      <c r="F32" s="8">
        <f>E32/C32</f>
        <v>176.56666666666666</v>
      </c>
      <c r="G32" s="12">
        <f>Feuil1!L32</f>
        <v>0</v>
      </c>
      <c r="H32" t="str">
        <f>IF(OR(G32="",G32=0,C32="",C32=0,D32="",D32=0),"",3*G32*C32/D32*Feuil1!$B$2/200+1)</f>
        <v/>
      </c>
      <c r="I32" t="str">
        <f t="shared" si="0"/>
        <v/>
      </c>
      <c r="J32" s="5" t="str">
        <f>IF(Qte!J32="","",IF(Qte!J32=0,"",IF($E32="","",IF($E32=0,"",Qte!J32*$E32))))</f>
        <v/>
      </c>
      <c r="K32" s="5" t="str">
        <f>IF(Qte!K32="","",IF(Qte!K32=0,"",IF($E32="","",IF($E32=0,"",Qte!K32*$E32))))</f>
        <v/>
      </c>
      <c r="L32" s="5" t="str">
        <f>IF(Qte!L32="","",IF(Qte!L32=0,"",IF($E32="","",IF($E32=0,"",Qte!L32*$E32))))</f>
        <v/>
      </c>
      <c r="M32" s="5" t="str">
        <f>IF(Qte!M32="","",IF(Qte!M32=0,"",IF($E32="","",IF($E32=0,"",Qte!M32*$E32))))</f>
        <v/>
      </c>
      <c r="N32" s="5" t="str">
        <f>IF(Qte!N32="","",IF(Qte!N32=0,"",IF($E32="","",IF($E32=0,"",Qte!N32*$E32))))</f>
        <v/>
      </c>
      <c r="O32" s="5" t="str">
        <f>IF(Qte!O32="","",IF(Qte!O32=0,"",IF($E32="","",IF($E32=0,"",Qte!O32*$E32))))</f>
        <v/>
      </c>
      <c r="P32" s="5" t="str">
        <f>IF(Qte!P32="","",IF(Qte!P32=0,"",IF($E32="","",IF($E32=0,"",Qte!P32*$E32))))</f>
        <v/>
      </c>
      <c r="Q32" s="5" t="str">
        <f>IF(Qte!Q32="","",IF(Qte!Q32=0,"",IF($E32="","",IF($E32=0,"",Qte!Q32*$E32))))</f>
        <v/>
      </c>
      <c r="R32" s="5" t="str">
        <f>IF(Qte!R32="","",IF(Qte!R32=0,"",IF($E32="","",IF($E32=0,"",Qte!R32*$E32))))</f>
        <v/>
      </c>
    </row>
    <row r="33" spans="1:18">
      <c r="A33" s="12" t="s">
        <v>74</v>
      </c>
      <c r="B33" s="12" t="s">
        <v>75</v>
      </c>
      <c r="C33" s="12">
        <v>100</v>
      </c>
      <c r="D33" s="12">
        <v>1</v>
      </c>
      <c r="E33" s="14">
        <f>Feuil1!J33</f>
        <v>24815</v>
      </c>
      <c r="F33" s="8">
        <f>E33/C33</f>
        <v>248.15</v>
      </c>
      <c r="G33" s="12">
        <f>Feuil1!L33</f>
        <v>1</v>
      </c>
      <c r="H33">
        <f>IF(OR(G33="",G33=0,C33="",C33=0,D33="",D33=0),"",3*G33*C33/D33*Feuil1!$B$2/200+1)</f>
        <v>119.5</v>
      </c>
      <c r="I33">
        <f t="shared" si="0"/>
        <v>209.875</v>
      </c>
      <c r="J33" s="5">
        <f>IF(Qte!J33="","",IF(Qte!J33=0,"",IF($E33="","",IF($E33=0,"",Qte!J33*$E33))))</f>
        <v>52080.481249999997</v>
      </c>
      <c r="K33" s="5">
        <f>IF(Qte!K33="","",IF(Qte!K33=0,"",IF($E33="","",IF($E33=0,"",Qte!K33*$E33))))</f>
        <v>7291.2673750000004</v>
      </c>
      <c r="L33" s="5">
        <f>IF(Qte!L33="","",IF(Qte!L33=0,"",IF($E33="","",IF($E33=0,"",Qte!L33*$E33))))</f>
        <v>7288.5835818033966</v>
      </c>
      <c r="M33" s="5">
        <f>IF(Qte!M33="","",IF(Qte!M33=0,"",IF($E33="","",IF($E33=0,"",Qte!M33*$E33))))</f>
        <v>7285.901763648505</v>
      </c>
      <c r="N33" s="5">
        <f>IF(Qte!N33="","",IF(Qte!N33=0,"",IF($E33="","",IF($E33=0,"",Qte!N33*$E33))))</f>
        <v>7283.2219183559</v>
      </c>
      <c r="O33" s="5">
        <f>IF(Qte!O33="","",IF(Qte!O33=0,"",IF($E33="","",IF($E33=0,"",Qte!O33*$E33))))</f>
        <v>7264.5180590514374</v>
      </c>
      <c r="P33" s="5">
        <f>IF(Qte!P33="","",IF(Qte!P33=0,"",IF($E33="","",IF($E33=0,"",Qte!P33*$E33))))</f>
        <v>7032.3242393119926</v>
      </c>
      <c r="Q33" s="5">
        <f>IF(Qte!Q33="","",IF(Qte!Q33=0,"",IF($E33="","",IF($E33=0,"",Qte!Q33*$E33))))</f>
        <v>5329.0324710220621</v>
      </c>
      <c r="R33" s="5">
        <f>IF(Qte!R33="","",IF(Qte!R33=0,"",IF($E33="","",IF($E33=0,"",Qte!R33*$E33))))</f>
        <v>7032.3242393119926</v>
      </c>
    </row>
    <row r="34" spans="1:18">
      <c r="A34" s="12" t="s">
        <v>76</v>
      </c>
      <c r="B34" s="12" t="s">
        <v>77</v>
      </c>
      <c r="C34" s="12">
        <v>90</v>
      </c>
      <c r="D34" s="12">
        <v>1</v>
      </c>
      <c r="E34" s="14">
        <f>Feuil1!J34</f>
        <v>22929</v>
      </c>
      <c r="F34" s="8">
        <f>E34/C34</f>
        <v>254.76666666666668</v>
      </c>
      <c r="G34" s="12">
        <f>Feuil1!L34</f>
        <v>0</v>
      </c>
      <c r="H34" t="str">
        <f>IF(OR(G34="",G34=0,C34="",C34=0,D34="",D34=0),"",3*G34*C34/D34*Feuil1!$B$2/200+1)</f>
        <v/>
      </c>
      <c r="I34" t="str">
        <f t="shared" si="0"/>
        <v/>
      </c>
      <c r="J34" s="5" t="str">
        <f>IF(Qte!J34="","",IF(Qte!J34=0,"",IF($E34="","",IF($E34=0,"",Qte!J34*$E34))))</f>
        <v/>
      </c>
      <c r="K34" s="5" t="str">
        <f>IF(Qte!K34="","",IF(Qte!K34=0,"",IF($E34="","",IF($E34=0,"",Qte!K34*$E34))))</f>
        <v/>
      </c>
      <c r="L34" s="5" t="str">
        <f>IF(Qte!L34="","",IF(Qte!L34=0,"",IF($E34="","",IF($E34=0,"",Qte!L34*$E34))))</f>
        <v/>
      </c>
      <c r="M34" s="5" t="str">
        <f>IF(Qte!M34="","",IF(Qte!M34=0,"",IF($E34="","",IF($E34=0,"",Qte!M34*$E34))))</f>
        <v/>
      </c>
      <c r="N34" s="5" t="str">
        <f>IF(Qte!N34="","",IF(Qte!N34=0,"",IF($E34="","",IF($E34=0,"",Qte!N34*$E34))))</f>
        <v/>
      </c>
      <c r="O34" s="5" t="str">
        <f>IF(Qte!O34="","",IF(Qte!O34=0,"",IF($E34="","",IF($E34=0,"",Qte!O34*$E34))))</f>
        <v/>
      </c>
      <c r="P34" s="5" t="str">
        <f>IF(Qte!P34="","",IF(Qte!P34=0,"",IF($E34="","",IF($E34=0,"",Qte!P34*$E34))))</f>
        <v/>
      </c>
      <c r="Q34" s="5" t="str">
        <f>IF(Qte!Q34="","",IF(Qte!Q34=0,"",IF($E34="","",IF($E34=0,"",Qte!Q34*$E34))))</f>
        <v/>
      </c>
      <c r="R34" s="5" t="str">
        <f>IF(Qte!R34="","",IF(Qte!R34=0,"",IF($E34="","",IF($E34=0,"",Qte!R34*$E34))))</f>
        <v/>
      </c>
    </row>
    <row r="35" spans="1:18">
      <c r="A35" s="12" t="s">
        <v>78</v>
      </c>
      <c r="B35" s="12" t="s">
        <v>79</v>
      </c>
      <c r="C35" s="12">
        <v>51</v>
      </c>
      <c r="D35" s="12">
        <v>1</v>
      </c>
      <c r="E35" s="14">
        <f>Feuil1!J35</f>
        <v>9260</v>
      </c>
      <c r="F35" s="8">
        <f>E35/C35</f>
        <v>181.56862745098039</v>
      </c>
      <c r="G35" s="12">
        <f>Feuil1!L35</f>
        <v>0</v>
      </c>
      <c r="H35" t="str">
        <f>IF(OR(G35="",G35=0,C35="",C35=0,D35="",D35=0),"",3*G35*C35/D35*Feuil1!$B$2/200+1)</f>
        <v/>
      </c>
      <c r="I35" t="str">
        <f t="shared" si="0"/>
        <v/>
      </c>
      <c r="J35" s="5" t="str">
        <f>IF(Qte!J35="","",IF(Qte!J35=0,"",IF($E35="","",IF($E35=0,"",Qte!J35*$E35))))</f>
        <v/>
      </c>
      <c r="K35" s="5" t="str">
        <f>IF(Qte!K35="","",IF(Qte!K35=0,"",IF($E35="","",IF($E35=0,"",Qte!K35*$E35))))</f>
        <v/>
      </c>
      <c r="L35" s="5" t="str">
        <f>IF(Qte!L35="","",IF(Qte!L35=0,"",IF($E35="","",IF($E35=0,"",Qte!L35*$E35))))</f>
        <v/>
      </c>
      <c r="M35" s="5" t="str">
        <f>IF(Qte!M35="","",IF(Qte!M35=0,"",IF($E35="","",IF($E35=0,"",Qte!M35*$E35))))</f>
        <v/>
      </c>
      <c r="N35" s="5" t="str">
        <f>IF(Qte!N35="","",IF(Qte!N35=0,"",IF($E35="","",IF($E35=0,"",Qte!N35*$E35))))</f>
        <v/>
      </c>
      <c r="O35" s="5" t="str">
        <f>IF(Qte!O35="","",IF(Qte!O35=0,"",IF($E35="","",IF($E35=0,"",Qte!O35*$E35))))</f>
        <v/>
      </c>
      <c r="P35" s="5" t="str">
        <f>IF(Qte!P35="","",IF(Qte!P35=0,"",IF($E35="","",IF($E35=0,"",Qte!P35*$E35))))</f>
        <v/>
      </c>
      <c r="Q35" s="5" t="str">
        <f>IF(Qte!Q35="","",IF(Qte!Q35=0,"",IF($E35="","",IF($E35=0,"",Qte!Q35*$E35))))</f>
        <v/>
      </c>
      <c r="R35" s="5" t="str">
        <f>IF(Qte!R35="","",IF(Qte!R35=0,"",IF($E35="","",IF($E35=0,"",Qte!R35*$E35))))</f>
        <v/>
      </c>
    </row>
    <row r="36" spans="1:18">
      <c r="A36" s="12" t="s">
        <v>80</v>
      </c>
      <c r="B36" s="12" t="s">
        <v>81</v>
      </c>
      <c r="C36" s="12">
        <v>2.5</v>
      </c>
      <c r="D36" s="12">
        <v>10</v>
      </c>
      <c r="E36" s="14">
        <f>Feuil1!J36</f>
        <v>152</v>
      </c>
      <c r="F36" s="8">
        <f>E36/C36</f>
        <v>60.8</v>
      </c>
      <c r="G36" s="12">
        <f>Feuil1!L36</f>
        <v>0</v>
      </c>
      <c r="H36" t="str">
        <f>IF(OR(G36="",G36=0,C36="",C36=0,D36="",D36=0),"",3*G36*C36/D36*Feuil1!$B$2/200+1)</f>
        <v/>
      </c>
      <c r="I36" t="str">
        <f t="shared" si="0"/>
        <v/>
      </c>
      <c r="J36" s="5" t="str">
        <f>IF(Qte!J36="","",IF(Qte!J36=0,"",IF($E36="","",IF($E36=0,"",Qte!J36*$E36))))</f>
        <v/>
      </c>
      <c r="K36" s="5" t="str">
        <f>IF(Qte!K36="","",IF(Qte!K36=0,"",IF($E36="","",IF($E36=0,"",Qte!K36*$E36))))</f>
        <v/>
      </c>
      <c r="L36" s="5" t="str">
        <f>IF(Qte!L36="","",IF(Qte!L36=0,"",IF($E36="","",IF($E36=0,"",Qte!L36*$E36))))</f>
        <v/>
      </c>
      <c r="M36" s="5" t="str">
        <f>IF(Qte!M36="","",IF(Qte!M36=0,"",IF($E36="","",IF($E36=0,"",Qte!M36*$E36))))</f>
        <v/>
      </c>
      <c r="N36" s="5" t="str">
        <f>IF(Qte!N36="","",IF(Qte!N36=0,"",IF($E36="","",IF($E36=0,"",Qte!N36*$E36))))</f>
        <v/>
      </c>
      <c r="O36" s="5" t="str">
        <f>IF(Qte!O36="","",IF(Qte!O36=0,"",IF($E36="","",IF($E36=0,"",Qte!O36*$E36))))</f>
        <v/>
      </c>
      <c r="P36" s="5" t="str">
        <f>IF(Qte!P36="","",IF(Qte!P36=0,"",IF($E36="","",IF($E36=0,"",Qte!P36*$E36))))</f>
        <v/>
      </c>
      <c r="Q36" s="5" t="str">
        <f>IF(Qte!Q36="","",IF(Qte!Q36=0,"",IF($E36="","",IF($E36=0,"",Qte!Q36*$E36))))</f>
        <v/>
      </c>
      <c r="R36" s="5" t="str">
        <f>IF(Qte!R36="","",IF(Qte!R36=0,"",IF($E36="","",IF($E36=0,"",Qte!R36*$E36))))</f>
        <v/>
      </c>
    </row>
    <row r="37" spans="1:18">
      <c r="A37" s="12" t="s">
        <v>82</v>
      </c>
      <c r="B37" s="12" t="s">
        <v>83</v>
      </c>
      <c r="C37" s="12">
        <v>3</v>
      </c>
      <c r="D37" s="12">
        <v>1</v>
      </c>
      <c r="E37" s="14">
        <f>Feuil1!J37</f>
        <v>413</v>
      </c>
      <c r="F37" s="8">
        <f>E37/C37</f>
        <v>137.66666666666666</v>
      </c>
      <c r="G37" s="12">
        <f>Feuil1!L37</f>
        <v>0</v>
      </c>
      <c r="H37" t="str">
        <f>IF(OR(G37="",G37=0,C37="",C37=0,D37="",D37=0),"",3*G37*C37/D37*Feuil1!$B$2/200+1)</f>
        <v/>
      </c>
      <c r="I37" t="str">
        <f t="shared" si="0"/>
        <v/>
      </c>
      <c r="J37" s="5" t="str">
        <f>IF(Qte!J37="","",IF(Qte!J37=0,"",IF($E37="","",IF($E37=0,"",Qte!J37*$E37))))</f>
        <v/>
      </c>
      <c r="K37" s="5" t="str">
        <f>IF(Qte!K37="","",IF(Qte!K37=0,"",IF($E37="","",IF($E37=0,"",Qte!K37*$E37))))</f>
        <v/>
      </c>
      <c r="L37" s="5" t="str">
        <f>IF(Qte!L37="","",IF(Qte!L37=0,"",IF($E37="","",IF($E37=0,"",Qte!L37*$E37))))</f>
        <v/>
      </c>
      <c r="M37" s="5" t="str">
        <f>IF(Qte!M37="","",IF(Qte!M37=0,"",IF($E37="","",IF($E37=0,"",Qte!M37*$E37))))</f>
        <v/>
      </c>
      <c r="N37" s="5" t="str">
        <f>IF(Qte!N37="","",IF(Qte!N37=0,"",IF($E37="","",IF($E37=0,"",Qte!N37*$E37))))</f>
        <v/>
      </c>
      <c r="O37" s="5" t="str">
        <f>IF(Qte!O37="","",IF(Qte!O37=0,"",IF($E37="","",IF($E37=0,"",Qte!O37*$E37))))</f>
        <v/>
      </c>
      <c r="P37" s="5" t="str">
        <f>IF(Qte!P37="","",IF(Qte!P37=0,"",IF($E37="","",IF($E37=0,"",Qte!P37*$E37))))</f>
        <v/>
      </c>
      <c r="Q37" s="5" t="str">
        <f>IF(Qte!Q37="","",IF(Qte!Q37=0,"",IF($E37="","",IF($E37=0,"",Qte!Q37*$E37))))</f>
        <v/>
      </c>
      <c r="R37" s="5" t="str">
        <f>IF(Qte!R37="","",IF(Qte!R37=0,"",IF($E37="","",IF($E37=0,"",Qte!R37*$E37))))</f>
        <v/>
      </c>
    </row>
    <row r="38" spans="1:18">
      <c r="A38" s="12" t="s">
        <v>84</v>
      </c>
      <c r="B38" s="12" t="s">
        <v>85</v>
      </c>
      <c r="C38" s="12">
        <v>2</v>
      </c>
      <c r="D38" s="12">
        <v>1</v>
      </c>
      <c r="E38" s="14">
        <f>Feuil1!J38</f>
        <v>241</v>
      </c>
      <c r="F38" s="8">
        <f>E38/C38</f>
        <v>120.5</v>
      </c>
      <c r="G38" s="12">
        <f>Feuil1!L38</f>
        <v>0</v>
      </c>
      <c r="H38" t="str">
        <f>IF(OR(G38="",G38=0,C38="",C38=0,D38="",D38=0),"",3*G38*C38/D38*Feuil1!$B$2/200+1)</f>
        <v/>
      </c>
      <c r="I38" t="str">
        <f t="shared" si="0"/>
        <v/>
      </c>
      <c r="J38" s="5" t="str">
        <f>IF(Qte!J38="","",IF(Qte!J38=0,"",IF($E38="","",IF($E38=0,"",Qte!J38*$E38))))</f>
        <v/>
      </c>
      <c r="K38" s="5" t="str">
        <f>IF(Qte!K38="","",IF(Qte!K38=0,"",IF($E38="","",IF($E38=0,"",Qte!K38*$E38))))</f>
        <v/>
      </c>
      <c r="L38" s="5" t="str">
        <f>IF(Qte!L38="","",IF(Qte!L38=0,"",IF($E38="","",IF($E38=0,"",Qte!L38*$E38))))</f>
        <v/>
      </c>
      <c r="M38" s="5" t="str">
        <f>IF(Qte!M38="","",IF(Qte!M38=0,"",IF($E38="","",IF($E38=0,"",Qte!M38*$E38))))</f>
        <v/>
      </c>
      <c r="N38" s="5" t="str">
        <f>IF(Qte!N38="","",IF(Qte!N38=0,"",IF($E38="","",IF($E38=0,"",Qte!N38*$E38))))</f>
        <v/>
      </c>
      <c r="O38" s="5" t="str">
        <f>IF(Qte!O38="","",IF(Qte!O38=0,"",IF($E38="","",IF($E38=0,"",Qte!O38*$E38))))</f>
        <v/>
      </c>
      <c r="P38" s="5" t="str">
        <f>IF(Qte!P38="","",IF(Qte!P38=0,"",IF($E38="","",IF($E38=0,"",Qte!P38*$E38))))</f>
        <v/>
      </c>
      <c r="Q38" s="5" t="str">
        <f>IF(Qte!Q38="","",IF(Qte!Q38=0,"",IF($E38="","",IF($E38=0,"",Qte!Q38*$E38))))</f>
        <v/>
      </c>
      <c r="R38" s="5" t="str">
        <f>IF(Qte!R38="","",IF(Qte!R38=0,"",IF($E38="","",IF($E38=0,"",Qte!R38*$E38))))</f>
        <v/>
      </c>
    </row>
    <row r="39" spans="1:18">
      <c r="A39" s="12" t="s">
        <v>86</v>
      </c>
      <c r="B39" s="12" t="s">
        <v>87</v>
      </c>
      <c r="C39" s="12">
        <v>2</v>
      </c>
      <c r="D39" s="12">
        <v>1</v>
      </c>
      <c r="E39" s="14">
        <f>Feuil1!J39</f>
        <v>97</v>
      </c>
      <c r="F39" s="8">
        <f>E39/C39</f>
        <v>48.5</v>
      </c>
      <c r="G39" s="12">
        <f>Feuil1!L39</f>
        <v>0</v>
      </c>
      <c r="H39" t="str">
        <f>IF(OR(G39="",G39=0,C39="",C39=0,D39="",D39=0),"",3*G39*C39/D39*Feuil1!$B$2/200+1)</f>
        <v/>
      </c>
      <c r="I39" t="str">
        <f t="shared" si="0"/>
        <v/>
      </c>
      <c r="J39" s="5" t="str">
        <f>IF(Qte!J39="","",IF(Qte!J39=0,"",IF($E39="","",IF($E39=0,"",Qte!J39*$E39))))</f>
        <v/>
      </c>
      <c r="K39" s="5" t="str">
        <f>IF(Qte!K39="","",IF(Qte!K39=0,"",IF($E39="","",IF($E39=0,"",Qte!K39*$E39))))</f>
        <v/>
      </c>
      <c r="L39" s="5" t="str">
        <f>IF(Qte!L39="","",IF(Qte!L39=0,"",IF($E39="","",IF($E39=0,"",Qte!L39*$E39))))</f>
        <v/>
      </c>
      <c r="M39" s="5" t="str">
        <f>IF(Qte!M39="","",IF(Qte!M39=0,"",IF($E39="","",IF($E39=0,"",Qte!M39*$E39))))</f>
        <v/>
      </c>
      <c r="N39" s="5" t="str">
        <f>IF(Qte!N39="","",IF(Qte!N39=0,"",IF($E39="","",IF($E39=0,"",Qte!N39*$E39))))</f>
        <v/>
      </c>
      <c r="O39" s="5" t="str">
        <f>IF(Qte!O39="","",IF(Qte!O39=0,"",IF($E39="","",IF($E39=0,"",Qte!O39*$E39))))</f>
        <v/>
      </c>
      <c r="P39" s="5" t="str">
        <f>IF(Qte!P39="","",IF(Qte!P39=0,"",IF($E39="","",IF($E39=0,"",Qte!P39*$E39))))</f>
        <v/>
      </c>
      <c r="Q39" s="5" t="str">
        <f>IF(Qte!Q39="","",IF(Qte!Q39=0,"",IF($E39="","",IF($E39=0,"",Qte!Q39*$E39))))</f>
        <v/>
      </c>
      <c r="R39" s="5" t="str">
        <f>IF(Qte!R39="","",IF(Qte!R39=0,"",IF($E39="","",IF($E39=0,"",Qte!R39*$E39))))</f>
        <v/>
      </c>
    </row>
    <row r="40" spans="1:18">
      <c r="A40" s="12" t="s">
        <v>88</v>
      </c>
      <c r="B40" s="12" t="s">
        <v>89</v>
      </c>
      <c r="C40" s="12">
        <v>2</v>
      </c>
      <c r="D40" s="12">
        <v>1</v>
      </c>
      <c r="E40" s="14">
        <f>Feuil1!J40</f>
        <v>328</v>
      </c>
      <c r="F40" s="8">
        <f>E40/C40</f>
        <v>164</v>
      </c>
      <c r="G40" s="12">
        <f>Feuil1!L40</f>
        <v>0</v>
      </c>
      <c r="H40" t="str">
        <f>IF(OR(G40="",G40=0,C40="",C40=0,D40="",D40=0),"",3*G40*C40/D40*Feuil1!$B$2/200+1)</f>
        <v/>
      </c>
      <c r="I40" t="str">
        <f t="shared" si="0"/>
        <v/>
      </c>
      <c r="J40" s="5" t="str">
        <f>IF(Qte!J40="","",IF(Qte!J40=0,"",IF($E40="","",IF($E40=0,"",Qte!J40*$E40))))</f>
        <v/>
      </c>
      <c r="K40" s="5" t="str">
        <f>IF(Qte!K40="","",IF(Qte!K40=0,"",IF($E40="","",IF($E40=0,"",Qte!K40*$E40))))</f>
        <v/>
      </c>
      <c r="L40" s="5" t="str">
        <f>IF(Qte!L40="","",IF(Qte!L40=0,"",IF($E40="","",IF($E40=0,"",Qte!L40*$E40))))</f>
        <v/>
      </c>
      <c r="M40" s="5" t="str">
        <f>IF(Qte!M40="","",IF(Qte!M40=0,"",IF($E40="","",IF($E40=0,"",Qte!M40*$E40))))</f>
        <v/>
      </c>
      <c r="N40" s="5" t="str">
        <f>IF(Qte!N40="","",IF(Qte!N40=0,"",IF($E40="","",IF($E40=0,"",Qte!N40*$E40))))</f>
        <v/>
      </c>
      <c r="O40" s="5" t="str">
        <f>IF(Qte!O40="","",IF(Qte!O40=0,"",IF($E40="","",IF($E40=0,"",Qte!O40*$E40))))</f>
        <v/>
      </c>
      <c r="P40" s="5" t="str">
        <f>IF(Qte!P40="","",IF(Qte!P40=0,"",IF($E40="","",IF($E40=0,"",Qte!P40*$E40))))</f>
        <v/>
      </c>
      <c r="Q40" s="5" t="str">
        <f>IF(Qte!Q40="","",IF(Qte!Q40=0,"",IF($E40="","",IF($E40=0,"",Qte!Q40*$E40))))</f>
        <v/>
      </c>
      <c r="R40" s="5" t="str">
        <f>IF(Qte!R40="","",IF(Qte!R40=0,"",IF($E40="","",IF($E40=0,"",Qte!R40*$E40))))</f>
        <v/>
      </c>
    </row>
    <row r="41" spans="1:18">
      <c r="A41" s="12" t="s">
        <v>90</v>
      </c>
      <c r="B41" s="12" t="s">
        <v>91</v>
      </c>
      <c r="C41" s="12">
        <v>2</v>
      </c>
      <c r="D41" s="12">
        <v>1</v>
      </c>
      <c r="E41" s="14">
        <f>Feuil1!J41</f>
        <v>334</v>
      </c>
      <c r="F41" s="8">
        <f>E41/C41</f>
        <v>167</v>
      </c>
      <c r="G41" s="12">
        <f>Feuil1!L41</f>
        <v>0</v>
      </c>
      <c r="H41" t="str">
        <f>IF(OR(G41="",G41=0,C41="",C41=0,D41="",D41=0),"",3*G41*C41/D41*Feuil1!$B$2/200+1)</f>
        <v/>
      </c>
      <c r="I41" t="str">
        <f t="shared" si="0"/>
        <v/>
      </c>
      <c r="J41" s="5" t="str">
        <f>IF(Qte!J41="","",IF(Qte!J41=0,"",IF($E41="","",IF($E41=0,"",Qte!J41*$E41))))</f>
        <v/>
      </c>
      <c r="K41" s="5" t="str">
        <f>IF(Qte!K41="","",IF(Qte!K41=0,"",IF($E41="","",IF($E41=0,"",Qte!K41*$E41))))</f>
        <v/>
      </c>
      <c r="L41" s="5" t="str">
        <f>IF(Qte!L41="","",IF(Qte!L41=0,"",IF($E41="","",IF($E41=0,"",Qte!L41*$E41))))</f>
        <v/>
      </c>
      <c r="M41" s="5" t="str">
        <f>IF(Qte!M41="","",IF(Qte!M41=0,"",IF($E41="","",IF($E41=0,"",Qte!M41*$E41))))</f>
        <v/>
      </c>
      <c r="N41" s="5" t="str">
        <f>IF(Qte!N41="","",IF(Qte!N41=0,"",IF($E41="","",IF($E41=0,"",Qte!N41*$E41))))</f>
        <v/>
      </c>
      <c r="O41" s="5" t="str">
        <f>IF(Qte!O41="","",IF(Qte!O41=0,"",IF($E41="","",IF($E41=0,"",Qte!O41*$E41))))</f>
        <v/>
      </c>
      <c r="P41" s="5" t="str">
        <f>IF(Qte!P41="","",IF(Qte!P41=0,"",IF($E41="","",IF($E41=0,"",Qte!P41*$E41))))</f>
        <v/>
      </c>
      <c r="Q41" s="5" t="str">
        <f>IF(Qte!Q41="","",IF(Qte!Q41=0,"",IF($E41="","",IF($E41=0,"",Qte!Q41*$E41))))</f>
        <v/>
      </c>
      <c r="R41" s="5" t="str">
        <f>IF(Qte!R41="","",IF(Qte!R41=0,"",IF($E41="","",IF($E41=0,"",Qte!R41*$E41))))</f>
        <v/>
      </c>
    </row>
    <row r="42" spans="1:18">
      <c r="A42" s="12" t="s">
        <v>92</v>
      </c>
      <c r="B42" s="12" t="s">
        <v>93</v>
      </c>
      <c r="C42" s="12">
        <v>2</v>
      </c>
      <c r="D42" s="12">
        <v>1</v>
      </c>
      <c r="E42" s="14">
        <f>Feuil1!J42</f>
        <v>184</v>
      </c>
      <c r="F42" s="8">
        <f>E42/C42</f>
        <v>92</v>
      </c>
      <c r="G42" s="12">
        <f>Feuil1!L42</f>
        <v>0</v>
      </c>
      <c r="H42" t="str">
        <f>IF(OR(G42="",G42=0,C42="",C42=0,D42="",D42=0),"",3*G42*C42/D42*Feuil1!$B$2/200+1)</f>
        <v/>
      </c>
      <c r="I42" t="str">
        <f t="shared" si="0"/>
        <v/>
      </c>
      <c r="J42" s="5" t="str">
        <f>IF(Qte!J42="","",IF(Qte!J42=0,"",IF($E42="","",IF($E42=0,"",Qte!J42*$E42))))</f>
        <v/>
      </c>
      <c r="K42" s="5" t="str">
        <f>IF(Qte!K42="","",IF(Qte!K42=0,"",IF($E42="","",IF($E42=0,"",Qte!K42*$E42))))</f>
        <v/>
      </c>
      <c r="L42" s="5" t="str">
        <f>IF(Qte!L42="","",IF(Qte!L42=0,"",IF($E42="","",IF($E42=0,"",Qte!L42*$E42))))</f>
        <v/>
      </c>
      <c r="M42" s="5" t="str">
        <f>IF(Qte!M42="","",IF(Qte!M42=0,"",IF($E42="","",IF($E42=0,"",Qte!M42*$E42))))</f>
        <v/>
      </c>
      <c r="N42" s="5" t="str">
        <f>IF(Qte!N42="","",IF(Qte!N42=0,"",IF($E42="","",IF($E42=0,"",Qte!N42*$E42))))</f>
        <v/>
      </c>
      <c r="O42" s="5" t="str">
        <f>IF(Qte!O42="","",IF(Qte!O42=0,"",IF($E42="","",IF($E42=0,"",Qte!O42*$E42))))</f>
        <v/>
      </c>
      <c r="P42" s="5" t="str">
        <f>IF(Qte!P42="","",IF(Qte!P42=0,"",IF($E42="","",IF($E42=0,"",Qte!P42*$E42))))</f>
        <v/>
      </c>
      <c r="Q42" s="5" t="str">
        <f>IF(Qte!Q42="","",IF(Qte!Q42=0,"",IF($E42="","",IF($E42=0,"",Qte!Q42*$E42))))</f>
        <v/>
      </c>
      <c r="R42" s="5" t="str">
        <f>IF(Qte!R42="","",IF(Qte!R42=0,"",IF($E42="","",IF($E42=0,"",Qte!R42*$E42))))</f>
        <v/>
      </c>
    </row>
    <row r="43" spans="1:18">
      <c r="A43" s="12" t="s">
        <v>94</v>
      </c>
      <c r="B43" s="12" t="s">
        <v>95</v>
      </c>
      <c r="C43" s="12">
        <v>2</v>
      </c>
      <c r="D43" s="12">
        <v>1</v>
      </c>
      <c r="E43" s="14">
        <f>Feuil1!J43</f>
        <v>95</v>
      </c>
      <c r="F43" s="8">
        <f>E43/C43</f>
        <v>47.5</v>
      </c>
      <c r="G43" s="12">
        <f>Feuil1!L43</f>
        <v>0</v>
      </c>
      <c r="H43" t="str">
        <f>IF(OR(G43="",G43=0,C43="",C43=0,D43="",D43=0),"",3*G43*C43/D43*Feuil1!$B$2/200+1)</f>
        <v/>
      </c>
      <c r="I43" t="str">
        <f t="shared" si="0"/>
        <v/>
      </c>
      <c r="J43" s="5" t="str">
        <f>IF(Qte!J43="","",IF(Qte!J43=0,"",IF($E43="","",IF($E43=0,"",Qte!J43*$E43))))</f>
        <v/>
      </c>
      <c r="K43" s="5" t="str">
        <f>IF(Qte!K43="","",IF(Qte!K43=0,"",IF($E43="","",IF($E43=0,"",Qte!K43*$E43))))</f>
        <v/>
      </c>
      <c r="L43" s="5" t="str">
        <f>IF(Qte!L43="","",IF(Qte!L43=0,"",IF($E43="","",IF($E43=0,"",Qte!L43*$E43))))</f>
        <v/>
      </c>
      <c r="M43" s="5" t="str">
        <f>IF(Qte!M43="","",IF(Qte!M43=0,"",IF($E43="","",IF($E43=0,"",Qte!M43*$E43))))</f>
        <v/>
      </c>
      <c r="N43" s="5" t="str">
        <f>IF(Qte!N43="","",IF(Qte!N43=0,"",IF($E43="","",IF($E43=0,"",Qte!N43*$E43))))</f>
        <v/>
      </c>
      <c r="O43" s="5" t="str">
        <f>IF(Qte!O43="","",IF(Qte!O43=0,"",IF($E43="","",IF($E43=0,"",Qte!O43*$E43))))</f>
        <v/>
      </c>
      <c r="P43" s="5" t="str">
        <f>IF(Qte!P43="","",IF(Qte!P43=0,"",IF($E43="","",IF($E43=0,"",Qte!P43*$E43))))</f>
        <v/>
      </c>
      <c r="Q43" s="5" t="str">
        <f>IF(Qte!Q43="","",IF(Qte!Q43=0,"",IF($E43="","",IF($E43=0,"",Qte!Q43*$E43))))</f>
        <v/>
      </c>
      <c r="R43" s="5" t="str">
        <f>IF(Qte!R43="","",IF(Qte!R43=0,"",IF($E43="","",IF($E43=0,"",Qte!R43*$E43))))</f>
        <v/>
      </c>
    </row>
    <row r="44" spans="1:18">
      <c r="A44" s="12" t="s">
        <v>96</v>
      </c>
      <c r="B44" s="12" t="s">
        <v>97</v>
      </c>
      <c r="C44" s="12">
        <v>2</v>
      </c>
      <c r="D44" s="12">
        <v>1</v>
      </c>
      <c r="E44" s="14">
        <f>Feuil1!J44</f>
        <v>284</v>
      </c>
      <c r="F44" s="8">
        <f>E44/C44</f>
        <v>142</v>
      </c>
      <c r="G44" s="12">
        <f>Feuil1!L44</f>
        <v>0</v>
      </c>
      <c r="H44" t="str">
        <f>IF(OR(G44="",G44=0,C44="",C44=0,D44="",D44=0),"",3*G44*C44/D44*Feuil1!$B$2/200+1)</f>
        <v/>
      </c>
      <c r="I44" t="str">
        <f t="shared" si="0"/>
        <v/>
      </c>
      <c r="J44" s="5" t="str">
        <f>IF(Qte!J44="","",IF(Qte!J44=0,"",IF($E44="","",IF($E44=0,"",Qte!J44*$E44))))</f>
        <v/>
      </c>
      <c r="K44" s="5" t="str">
        <f>IF(Qte!K44="","",IF(Qte!K44=0,"",IF($E44="","",IF($E44=0,"",Qte!K44*$E44))))</f>
        <v/>
      </c>
      <c r="L44" s="5" t="str">
        <f>IF(Qte!L44="","",IF(Qte!L44=0,"",IF($E44="","",IF($E44=0,"",Qte!L44*$E44))))</f>
        <v/>
      </c>
      <c r="M44" s="5" t="str">
        <f>IF(Qte!M44="","",IF(Qte!M44=0,"",IF($E44="","",IF($E44=0,"",Qte!M44*$E44))))</f>
        <v/>
      </c>
      <c r="N44" s="5" t="str">
        <f>IF(Qte!N44="","",IF(Qte!N44=0,"",IF($E44="","",IF($E44=0,"",Qte!N44*$E44))))</f>
        <v/>
      </c>
      <c r="O44" s="5" t="str">
        <f>IF(Qte!O44="","",IF(Qte!O44=0,"",IF($E44="","",IF($E44=0,"",Qte!O44*$E44))))</f>
        <v/>
      </c>
      <c r="P44" s="5" t="str">
        <f>IF(Qte!P44="","",IF(Qte!P44=0,"",IF($E44="","",IF($E44=0,"",Qte!P44*$E44))))</f>
        <v/>
      </c>
      <c r="Q44" s="5" t="str">
        <f>IF(Qte!Q44="","",IF(Qte!Q44=0,"",IF($E44="","",IF($E44=0,"",Qte!Q44*$E44))))</f>
        <v/>
      </c>
      <c r="R44" s="5" t="str">
        <f>IF(Qte!R44="","",IF(Qte!R44=0,"",IF($E44="","",IF($E44=0,"",Qte!R44*$E44))))</f>
        <v/>
      </c>
    </row>
    <row r="45" spans="1:18">
      <c r="A45" s="12" t="s">
        <v>98</v>
      </c>
      <c r="B45" s="12" t="s">
        <v>99</v>
      </c>
      <c r="C45" s="12">
        <v>2</v>
      </c>
      <c r="D45" s="12">
        <v>1</v>
      </c>
      <c r="E45" s="14">
        <f>Feuil1!J45</f>
        <v>424</v>
      </c>
      <c r="F45" s="8">
        <f>E45/C45</f>
        <v>212</v>
      </c>
      <c r="G45" s="12">
        <f>Feuil1!L45</f>
        <v>0</v>
      </c>
      <c r="H45" t="str">
        <f>IF(OR(G45="",G45=0,C45="",C45=0,D45="",D45=0),"",3*G45*C45/D45*Feuil1!$B$2/200+1)</f>
        <v/>
      </c>
      <c r="I45" t="str">
        <f t="shared" si="0"/>
        <v/>
      </c>
      <c r="J45" s="5" t="str">
        <f>IF(Qte!J45="","",IF(Qte!J45=0,"",IF($E45="","",IF($E45=0,"",Qte!J45*$E45))))</f>
        <v/>
      </c>
      <c r="K45" s="5" t="str">
        <f>IF(Qte!K45="","",IF(Qte!K45=0,"",IF($E45="","",IF($E45=0,"",Qte!K45*$E45))))</f>
        <v/>
      </c>
      <c r="L45" s="5" t="str">
        <f>IF(Qte!L45="","",IF(Qte!L45=0,"",IF($E45="","",IF($E45=0,"",Qte!L45*$E45))))</f>
        <v/>
      </c>
      <c r="M45" s="5" t="str">
        <f>IF(Qte!M45="","",IF(Qte!M45=0,"",IF($E45="","",IF($E45=0,"",Qte!M45*$E45))))</f>
        <v/>
      </c>
      <c r="N45" s="5" t="str">
        <f>IF(Qte!N45="","",IF(Qte!N45=0,"",IF($E45="","",IF($E45=0,"",Qte!N45*$E45))))</f>
        <v/>
      </c>
      <c r="O45" s="5" t="str">
        <f>IF(Qte!O45="","",IF(Qte!O45=0,"",IF($E45="","",IF($E45=0,"",Qte!O45*$E45))))</f>
        <v/>
      </c>
      <c r="P45" s="5" t="str">
        <f>IF(Qte!P45="","",IF(Qte!P45=0,"",IF($E45="","",IF($E45=0,"",Qte!P45*$E45))))</f>
        <v/>
      </c>
      <c r="Q45" s="5" t="str">
        <f>IF(Qte!Q45="","",IF(Qte!Q45=0,"",IF($E45="","",IF($E45=0,"",Qte!Q45*$E45))))</f>
        <v/>
      </c>
      <c r="R45" s="5" t="str">
        <f>IF(Qte!R45="","",IF(Qte!R45=0,"",IF($E45="","",IF($E45=0,"",Qte!R45*$E45))))</f>
        <v/>
      </c>
    </row>
    <row r="46" spans="1:18">
      <c r="A46" s="12" t="s">
        <v>100</v>
      </c>
      <c r="B46" s="12" t="s">
        <v>101</v>
      </c>
      <c r="C46" s="12">
        <v>7</v>
      </c>
      <c r="D46" s="12">
        <v>1</v>
      </c>
      <c r="E46" s="14">
        <f>Feuil1!J46</f>
        <v>358</v>
      </c>
      <c r="F46" s="8">
        <f>E46/C46</f>
        <v>51.142857142857146</v>
      </c>
      <c r="G46" s="12">
        <f>Feuil1!L46</f>
        <v>0</v>
      </c>
      <c r="H46" t="str">
        <f>IF(OR(G46="",G46=0,C46="",C46=0,D46="",D46=0),"",3*G46*C46/D46*Feuil1!$B$2/200+1)</f>
        <v/>
      </c>
      <c r="I46" t="str">
        <f t="shared" si="0"/>
        <v/>
      </c>
      <c r="J46" s="5" t="str">
        <f>IF(Qte!J46="","",IF(Qte!J46=0,"",IF($E46="","",IF($E46=0,"",Qte!J46*$E46))))</f>
        <v/>
      </c>
      <c r="K46" s="5" t="str">
        <f>IF(Qte!K46="","",IF(Qte!K46=0,"",IF($E46="","",IF($E46=0,"",Qte!K46*$E46))))</f>
        <v/>
      </c>
      <c r="L46" s="5" t="str">
        <f>IF(Qte!L46="","",IF(Qte!L46=0,"",IF($E46="","",IF($E46=0,"",Qte!L46*$E46))))</f>
        <v/>
      </c>
      <c r="M46" s="5" t="str">
        <f>IF(Qte!M46="","",IF(Qte!M46=0,"",IF($E46="","",IF($E46=0,"",Qte!M46*$E46))))</f>
        <v/>
      </c>
      <c r="N46" s="5" t="str">
        <f>IF(Qte!N46="","",IF(Qte!N46=0,"",IF($E46="","",IF($E46=0,"",Qte!N46*$E46))))</f>
        <v/>
      </c>
      <c r="O46" s="5" t="str">
        <f>IF(Qte!O46="","",IF(Qte!O46=0,"",IF($E46="","",IF($E46=0,"",Qte!O46*$E46))))</f>
        <v/>
      </c>
      <c r="P46" s="5" t="str">
        <f>IF(Qte!P46="","",IF(Qte!P46=0,"",IF($E46="","",IF($E46=0,"",Qte!P46*$E46))))</f>
        <v/>
      </c>
      <c r="Q46" s="5" t="str">
        <f>IF(Qte!Q46="","",IF(Qte!Q46=0,"",IF($E46="","",IF($E46=0,"",Qte!Q46*$E46))))</f>
        <v/>
      </c>
      <c r="R46" s="5" t="str">
        <f>IF(Qte!R46="","",IF(Qte!R46=0,"",IF($E46="","",IF($E46=0,"",Qte!R46*$E46))))</f>
        <v/>
      </c>
    </row>
    <row r="47" spans="1:18">
      <c r="A47" s="12" t="s">
        <v>102</v>
      </c>
      <c r="B47" s="12" t="s">
        <v>103</v>
      </c>
      <c r="C47" s="12">
        <v>7</v>
      </c>
      <c r="D47" s="12">
        <v>1</v>
      </c>
      <c r="E47" s="14">
        <f>Feuil1!J47</f>
        <v>330</v>
      </c>
      <c r="F47" s="8">
        <f>E47/C47</f>
        <v>47.142857142857146</v>
      </c>
      <c r="G47" s="12">
        <f>Feuil1!L47</f>
        <v>0</v>
      </c>
      <c r="H47" t="str">
        <f>IF(OR(G47="",G47=0,C47="",C47=0,D47="",D47=0),"",3*G47*C47/D47*Feuil1!$B$2/200+1)</f>
        <v/>
      </c>
      <c r="I47" t="str">
        <f t="shared" si="0"/>
        <v/>
      </c>
      <c r="J47" s="5" t="str">
        <f>IF(Qte!J47="","",IF(Qte!J47=0,"",IF($E47="","",IF($E47=0,"",Qte!J47*$E47))))</f>
        <v/>
      </c>
      <c r="K47" s="5" t="str">
        <f>IF(Qte!K47="","",IF(Qte!K47=0,"",IF($E47="","",IF($E47=0,"",Qte!K47*$E47))))</f>
        <v/>
      </c>
      <c r="L47" s="5" t="str">
        <f>IF(Qte!L47="","",IF(Qte!L47=0,"",IF($E47="","",IF($E47=0,"",Qte!L47*$E47))))</f>
        <v/>
      </c>
      <c r="M47" s="5" t="str">
        <f>IF(Qte!M47="","",IF(Qte!M47=0,"",IF($E47="","",IF($E47=0,"",Qte!M47*$E47))))</f>
        <v/>
      </c>
      <c r="N47" s="5" t="str">
        <f>IF(Qte!N47="","",IF(Qte!N47=0,"",IF($E47="","",IF($E47=0,"",Qte!N47*$E47))))</f>
        <v/>
      </c>
      <c r="O47" s="5" t="str">
        <f>IF(Qte!O47="","",IF(Qte!O47=0,"",IF($E47="","",IF($E47=0,"",Qte!O47*$E47))))</f>
        <v/>
      </c>
      <c r="P47" s="5" t="str">
        <f>IF(Qte!P47="","",IF(Qte!P47=0,"",IF($E47="","",IF($E47=0,"",Qte!P47*$E47))))</f>
        <v/>
      </c>
      <c r="Q47" s="5" t="str">
        <f>IF(Qte!Q47="","",IF(Qte!Q47=0,"",IF($E47="","",IF($E47=0,"",Qte!Q47*$E47))))</f>
        <v/>
      </c>
      <c r="R47" s="5" t="str">
        <f>IF(Qte!R47="","",IF(Qte!R47=0,"",IF($E47="","",IF($E47=0,"",Qte!R47*$E47))))</f>
        <v/>
      </c>
    </row>
    <row r="48" spans="1:18">
      <c r="A48" s="13" t="s">
        <v>104</v>
      </c>
      <c r="B48" s="12" t="s">
        <v>105</v>
      </c>
      <c r="C48" s="12">
        <v>3</v>
      </c>
      <c r="D48" s="12">
        <v>1</v>
      </c>
      <c r="E48" s="14">
        <f>Feuil1!J48</f>
        <v>269</v>
      </c>
      <c r="F48" s="8">
        <f>E48/C48</f>
        <v>89.666666666666671</v>
      </c>
      <c r="G48" s="12">
        <f>Feuil1!L48</f>
        <v>0</v>
      </c>
      <c r="H48" t="str">
        <f>IF(OR(G48="",G48=0,C48="",C48=0,D48="",D48=0),"",3*G48*C48/D48*Feuil1!$B$2/200+1)</f>
        <v/>
      </c>
      <c r="I48" t="str">
        <f t="shared" si="0"/>
        <v/>
      </c>
      <c r="J48" s="5" t="str">
        <f>IF(Qte!J48="","",IF(Qte!J48=0,"",IF($E48="","",IF($E48=0,"",Qte!J48*$E48))))</f>
        <v/>
      </c>
      <c r="K48" s="5" t="str">
        <f>IF(Qte!K48="","",IF(Qte!K48=0,"",IF($E48="","",IF($E48=0,"",Qte!K48*$E48))))</f>
        <v/>
      </c>
      <c r="L48" s="5" t="str">
        <f>IF(Qte!L48="","",IF(Qte!L48=0,"",IF($E48="","",IF($E48=0,"",Qte!L48*$E48))))</f>
        <v/>
      </c>
      <c r="M48" s="5" t="str">
        <f>IF(Qte!M48="","",IF(Qte!M48=0,"",IF($E48="","",IF($E48=0,"",Qte!M48*$E48))))</f>
        <v/>
      </c>
      <c r="N48" s="5" t="str">
        <f>IF(Qte!N48="","",IF(Qte!N48=0,"",IF($E48="","",IF($E48=0,"",Qte!N48*$E48))))</f>
        <v/>
      </c>
      <c r="O48" s="5" t="str">
        <f>IF(Qte!O48="","",IF(Qte!O48=0,"",IF($E48="","",IF($E48=0,"",Qte!O48*$E48))))</f>
        <v/>
      </c>
      <c r="P48" s="5" t="str">
        <f>IF(Qte!P48="","",IF(Qte!P48=0,"",IF($E48="","",IF($E48=0,"",Qte!P48*$E48))))</f>
        <v/>
      </c>
      <c r="Q48" s="5" t="str">
        <f>IF(Qte!Q48="","",IF(Qte!Q48=0,"",IF($E48="","",IF($E48=0,"",Qte!Q48*$E48))))</f>
        <v/>
      </c>
      <c r="R48" s="5" t="str">
        <f>IF(Qte!R48="","",IF(Qte!R48=0,"",IF($E48="","",IF($E48=0,"",Qte!R48*$E48))))</f>
        <v/>
      </c>
    </row>
    <row r="49" spans="1:18">
      <c r="A49" s="12" t="s">
        <v>106</v>
      </c>
      <c r="B49" s="12" t="s">
        <v>107</v>
      </c>
      <c r="C49" s="12">
        <v>10</v>
      </c>
      <c r="D49" s="12">
        <v>1</v>
      </c>
      <c r="E49" s="14">
        <f>Feuil1!J49</f>
        <v>391</v>
      </c>
      <c r="F49" s="8">
        <f>E49/C49</f>
        <v>39.1</v>
      </c>
      <c r="G49" s="12">
        <f>Feuil1!L49</f>
        <v>0</v>
      </c>
      <c r="H49" t="str">
        <f>IF(OR(G49="",G49=0,C49="",C49=0,D49="",D49=0),"",3*G49*C49/D49*Feuil1!$B$2/200+1)</f>
        <v/>
      </c>
      <c r="I49" t="str">
        <f t="shared" si="0"/>
        <v/>
      </c>
      <c r="J49" s="5" t="str">
        <f>IF(Qte!J49="","",IF(Qte!J49=0,"",IF($E49="","",IF($E49=0,"",Qte!J49*$E49))))</f>
        <v/>
      </c>
      <c r="K49" s="5" t="str">
        <f>IF(Qte!K49="","",IF(Qte!K49=0,"",IF($E49="","",IF($E49=0,"",Qte!K49*$E49))))</f>
        <v/>
      </c>
      <c r="L49" s="5" t="str">
        <f>IF(Qte!L49="","",IF(Qte!L49=0,"",IF($E49="","",IF($E49=0,"",Qte!L49*$E49))))</f>
        <v/>
      </c>
      <c r="M49" s="5" t="str">
        <f>IF(Qte!M49="","",IF(Qte!M49=0,"",IF($E49="","",IF($E49=0,"",Qte!M49*$E49))))</f>
        <v/>
      </c>
      <c r="N49" s="5" t="str">
        <f>IF(Qte!N49="","",IF(Qte!N49=0,"",IF($E49="","",IF($E49=0,"",Qte!N49*$E49))))</f>
        <v/>
      </c>
      <c r="O49" s="5" t="str">
        <f>IF(Qte!O49="","",IF(Qte!O49=0,"",IF($E49="","",IF($E49=0,"",Qte!O49*$E49))))</f>
        <v/>
      </c>
      <c r="P49" s="5" t="str">
        <f>IF(Qte!P49="","",IF(Qte!P49=0,"",IF($E49="","",IF($E49=0,"",Qte!P49*$E49))))</f>
        <v/>
      </c>
      <c r="Q49" s="5" t="str">
        <f>IF(Qte!Q49="","",IF(Qte!Q49=0,"",IF($E49="","",IF($E49=0,"",Qte!Q49*$E49))))</f>
        <v/>
      </c>
      <c r="R49" s="5" t="str">
        <f>IF(Qte!R49="","",IF(Qte!R49=0,"",IF($E49="","",IF($E49=0,"",Qte!R49*$E49))))</f>
        <v/>
      </c>
    </row>
    <row r="50" spans="1:18">
      <c r="A50" s="12" t="s">
        <v>108</v>
      </c>
      <c r="B50" s="12" t="s">
        <v>109</v>
      </c>
      <c r="C50" s="12">
        <v>4</v>
      </c>
      <c r="D50" s="12">
        <v>1</v>
      </c>
      <c r="E50" s="14">
        <f>Feuil1!J50</f>
        <v>877</v>
      </c>
      <c r="F50" s="8">
        <f>E50/C50</f>
        <v>219.25</v>
      </c>
      <c r="G50" s="12">
        <f>Feuil1!L50</f>
        <v>0</v>
      </c>
      <c r="H50" t="str">
        <f>IF(OR(G50="",G50=0,C50="",C50=0,D50="",D50=0),"",3*G50*C50/D50*Feuil1!$B$2/200+1)</f>
        <v/>
      </c>
      <c r="I50" t="str">
        <f t="shared" si="0"/>
        <v/>
      </c>
      <c r="J50" s="5" t="str">
        <f>IF(Qte!J50="","",IF(Qte!J50=0,"",IF($E50="","",IF($E50=0,"",Qte!J50*$E50))))</f>
        <v/>
      </c>
      <c r="K50" s="5" t="str">
        <f>IF(Qte!K50="","",IF(Qte!K50=0,"",IF($E50="","",IF($E50=0,"",Qte!K50*$E50))))</f>
        <v/>
      </c>
      <c r="L50" s="5" t="str">
        <f>IF(Qte!L50="","",IF(Qte!L50=0,"",IF($E50="","",IF($E50=0,"",Qte!L50*$E50))))</f>
        <v/>
      </c>
      <c r="M50" s="5" t="str">
        <f>IF(Qte!M50="","",IF(Qte!M50=0,"",IF($E50="","",IF($E50=0,"",Qte!M50*$E50))))</f>
        <v/>
      </c>
      <c r="N50" s="5" t="str">
        <f>IF(Qte!N50="","",IF(Qte!N50=0,"",IF($E50="","",IF($E50=0,"",Qte!N50*$E50))))</f>
        <v/>
      </c>
      <c r="O50" s="5" t="str">
        <f>IF(Qte!O50="","",IF(Qte!O50=0,"",IF($E50="","",IF($E50=0,"",Qte!O50*$E50))))</f>
        <v/>
      </c>
      <c r="P50" s="5" t="str">
        <f>IF(Qte!P50="","",IF(Qte!P50=0,"",IF($E50="","",IF($E50=0,"",Qte!P50*$E50))))</f>
        <v/>
      </c>
      <c r="Q50" s="5" t="str">
        <f>IF(Qte!Q50="","",IF(Qte!Q50=0,"",IF($E50="","",IF($E50=0,"",Qte!Q50*$E50))))</f>
        <v/>
      </c>
      <c r="R50" s="5" t="str">
        <f>IF(Qte!R50="","",IF(Qte!R50=0,"",IF($E50="","",IF($E50=0,"",Qte!R50*$E50))))</f>
        <v/>
      </c>
    </row>
    <row r="51" spans="1:18">
      <c r="A51" s="12" t="s">
        <v>110</v>
      </c>
      <c r="B51" s="12" t="s">
        <v>111</v>
      </c>
      <c r="C51" s="12">
        <v>1</v>
      </c>
      <c r="D51" s="12">
        <v>5</v>
      </c>
      <c r="E51" s="14">
        <f>Feuil1!J51</f>
        <v>183</v>
      </c>
      <c r="F51" s="8">
        <f>E51/C51</f>
        <v>183</v>
      </c>
      <c r="G51" s="12">
        <f>Feuil1!L51</f>
        <v>0</v>
      </c>
      <c r="H51" t="str">
        <f>IF(OR(G51="",G51=0,C51="",C51=0,D51="",D51=0),"",3*G51*C51/D51*Feuil1!$B$2/200+1)</f>
        <v/>
      </c>
      <c r="I51" t="str">
        <f t="shared" si="0"/>
        <v/>
      </c>
      <c r="J51" s="5" t="str">
        <f>IF(Qte!J51="","",IF(Qte!J51=0,"",IF($E51="","",IF($E51=0,"",Qte!J51*$E51))))</f>
        <v/>
      </c>
      <c r="K51" s="5" t="str">
        <f>IF(Qte!K51="","",IF(Qte!K51=0,"",IF($E51="","",IF($E51=0,"",Qte!K51*$E51))))</f>
        <v/>
      </c>
      <c r="L51" s="5" t="str">
        <f>IF(Qte!L51="","",IF(Qte!L51=0,"",IF($E51="","",IF($E51=0,"",Qte!L51*$E51))))</f>
        <v/>
      </c>
      <c r="M51" s="5" t="str">
        <f>IF(Qte!M51="","",IF(Qte!M51=0,"",IF($E51="","",IF($E51=0,"",Qte!M51*$E51))))</f>
        <v/>
      </c>
      <c r="N51" s="5" t="str">
        <f>IF(Qte!N51="","",IF(Qte!N51=0,"",IF($E51="","",IF($E51=0,"",Qte!N51*$E51))))</f>
        <v/>
      </c>
      <c r="O51" s="5" t="str">
        <f>IF(Qte!O51="","",IF(Qte!O51=0,"",IF($E51="","",IF($E51=0,"",Qte!O51*$E51))))</f>
        <v/>
      </c>
      <c r="P51" s="5" t="str">
        <f>IF(Qte!P51="","",IF(Qte!P51=0,"",IF($E51="","",IF($E51=0,"",Qte!P51*$E51))))</f>
        <v/>
      </c>
      <c r="Q51" s="5" t="str">
        <f>IF(Qte!Q51="","",IF(Qte!Q51=0,"",IF($E51="","",IF($E51=0,"",Qte!Q51*$E51))))</f>
        <v/>
      </c>
      <c r="R51" s="5" t="str">
        <f>IF(Qte!R51="","",IF(Qte!R51=0,"",IF($E51="","",IF($E51=0,"",Qte!R51*$E51))))</f>
        <v/>
      </c>
    </row>
  </sheetData>
  <conditionalFormatting sqref="J2:R5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D855-F3F4-4BC7-B18F-DD999B31383F}">
  <dimension ref="A1:R51"/>
  <sheetViews>
    <sheetView topLeftCell="G11" workbookViewId="0">
      <selection activeCell="K50" sqref="K50"/>
    </sheetView>
  </sheetViews>
  <sheetFormatPr defaultRowHeight="15"/>
  <cols>
    <col min="1" max="1" width="21.7109375" bestFit="1" customWidth="1"/>
    <col min="2" max="2" width="13.42578125" bestFit="1" customWidth="1"/>
    <col min="3" max="3" width="10.85546875" bestFit="1" customWidth="1"/>
    <col min="4" max="4" width="12.5703125" bestFit="1" customWidth="1"/>
    <col min="5" max="5" width="9.42578125" bestFit="1" customWidth="1"/>
    <col min="6" max="6" width="16.42578125" bestFit="1" customWidth="1"/>
    <col min="7" max="7" width="15.7109375" bestFit="1" customWidth="1"/>
    <col min="8" max="8" width="10.5703125" bestFit="1" customWidth="1"/>
    <col min="9" max="9" width="11" bestFit="1" customWidth="1"/>
    <col min="10" max="10" width="29.85546875" bestFit="1" customWidth="1"/>
    <col min="11" max="11" width="28.5703125" bestFit="1" customWidth="1"/>
    <col min="12" max="17" width="31.42578125" bestFit="1" customWidth="1"/>
    <col min="18" max="18" width="24" customWidth="1"/>
  </cols>
  <sheetData>
    <row r="1" spans="1:18">
      <c r="A1" s="12" t="s">
        <v>3</v>
      </c>
      <c r="B1" s="12" t="s">
        <v>4</v>
      </c>
      <c r="C1" s="12" t="s">
        <v>5</v>
      </c>
      <c r="D1" s="12" t="s">
        <v>6</v>
      </c>
      <c r="E1" s="12" t="s">
        <v>7</v>
      </c>
      <c r="F1" t="s">
        <v>8</v>
      </c>
      <c r="G1" s="12" t="s">
        <v>9</v>
      </c>
      <c r="H1" t="s">
        <v>120</v>
      </c>
      <c r="I1" t="s">
        <v>121</v>
      </c>
      <c r="J1" t="str">
        <f>"% de rentabilité a " &amp; TEXT(Coeff!A2,"0,00") &amp; "%"</f>
        <v>% de rentabilité a 100,00%</v>
      </c>
      <c r="K1" t="str">
        <f>"% de rentabilité a " &amp; TEXT(Coeff!B2,"0,00") &amp; "%"</f>
        <v>% de rentabilité a 14,00%</v>
      </c>
      <c r="L1" t="str">
        <f>"% de rentabilité a " &amp; TEXT(Coeff!C2,"0,00") &amp; "%"</f>
        <v>% de rentabilité a 13,99%</v>
      </c>
      <c r="M1" t="str">
        <f>"% de rentabilité a " &amp; TEXT(Coeff!D2,"0,00") &amp; "%"</f>
        <v>% de rentabilité a 13,99%</v>
      </c>
      <c r="N1" t="str">
        <f>"% de rentabilité a " &amp; TEXT(Coeff!E2,"0,00") &amp; "%"</f>
        <v>% de rentabilité a 13,98%</v>
      </c>
      <c r="O1" t="str">
        <f>"% de rentabilité a " &amp; TEXT(Coeff!F2,"0,00") &amp; "%"</f>
        <v>% de rentabilité a 13,95%</v>
      </c>
      <c r="P1" t="str">
        <f>"% de rentabilité a " &amp; TEXT(Coeff!G2,"0,00") &amp; "%"</f>
        <v>% de rentabilité a 13,50%</v>
      </c>
      <c r="Q1" t="str">
        <f>"% de rentabilité a " &amp; TEXT(Coeff!H2,"0,00") &amp; "%"</f>
        <v>% de rentabilité a 10,23%</v>
      </c>
      <c r="R1" t="str">
        <f>"% de rentabilité a " &amp; TEXT(Coeff!I2,"0,00") &amp; "%"</f>
        <v>% de rentabilité a 13,50%</v>
      </c>
    </row>
    <row r="2" spans="1:18">
      <c r="A2" s="12" t="s">
        <v>10</v>
      </c>
      <c r="B2" s="12" t="s">
        <v>11</v>
      </c>
      <c r="C2" s="12">
        <v>15</v>
      </c>
      <c r="D2" s="12">
        <v>1</v>
      </c>
      <c r="E2" s="14">
        <f>Feuil1!J2</f>
        <v>27934</v>
      </c>
      <c r="F2" s="8">
        <f>E2/C2</f>
        <v>1862.2666666666667</v>
      </c>
      <c r="G2" s="12">
        <f>Feuil1!L2</f>
        <v>0</v>
      </c>
      <c r="H2" t="str">
        <f>IF(OR(G2="",G2=0,C2="",C2=0,D2="",D2=0),"",3*G2*C2/D2*Feuil1!$B$2/200+1)</f>
        <v/>
      </c>
      <c r="I2" t="str">
        <f>IF(H2="","",IF(H2=0,"",H2+(SUM($H$2:$H$1004))/2-H2/2))</f>
        <v/>
      </c>
      <c r="J2" s="20" t="str">
        <f>IF(Value!J2="","",IF(Value!J2=0,"",(Value!J2*100/Feuil1!$C$2-100)/100))</f>
        <v/>
      </c>
      <c r="K2" s="20" t="str">
        <f>IF(Value!K2="","",IF(Value!K2=0,"",(Value!K2*100/Feuil1!$C$2-100)/100))</f>
        <v/>
      </c>
      <c r="L2" s="20" t="str">
        <f>IF(Value!L2="","",IF(Value!L2=0,"",(Value!L2*100/Feuil1!$C$2-100)/100))</f>
        <v/>
      </c>
      <c r="M2" s="20" t="str">
        <f>IF(Value!M2="","",IF(Value!M2=0,"",(Value!M2*100/Feuil1!$C$2-100)/100))</f>
        <v/>
      </c>
      <c r="N2" s="20" t="str">
        <f>IF(Value!N2="","",IF(Value!N2=0,"",(Value!N2*100/Feuil1!$C$2-100)/100))</f>
        <v/>
      </c>
      <c r="O2" s="20" t="str">
        <f>IF(Value!O2="","",IF(Value!O2=0,"",(Value!O2*100/Feuil1!$C$2-100)/100))</f>
        <v/>
      </c>
      <c r="P2" s="20" t="str">
        <f>IF(Value!P2="","",IF(Value!P2=0,"",(Value!P2*100/Feuil1!$C$2-100)/100))</f>
        <v/>
      </c>
      <c r="Q2" s="20" t="str">
        <f>IF(Value!Q2="","",IF(Value!Q2=0,"",(Value!Q2*100/Feuil1!$C$2-100)/100))</f>
        <v/>
      </c>
      <c r="R2" s="20" t="str">
        <f>IF(Value!R2="","",IF(Value!R2=0,"",(Value!R2*100/Feuil1!$C$2-100)/100))</f>
        <v/>
      </c>
    </row>
    <row r="3" spans="1:18">
      <c r="A3" s="12" t="s">
        <v>12</v>
      </c>
      <c r="B3" s="12" t="s">
        <v>13</v>
      </c>
      <c r="C3" s="12">
        <v>15</v>
      </c>
      <c r="D3" s="12">
        <v>1</v>
      </c>
      <c r="E3" s="14">
        <f>Feuil1!J3</f>
        <v>6321</v>
      </c>
      <c r="F3" s="8">
        <f>E3/C3</f>
        <v>421.4</v>
      </c>
      <c r="G3" s="12">
        <f>Feuil1!L3</f>
        <v>0</v>
      </c>
      <c r="H3" t="str">
        <f>IF(OR(G3="",G3=0,C3="",C3=0,D3="",D3=0),"",3*G3*C3/D3*Feuil1!$B$2/200+1)</f>
        <v/>
      </c>
      <c r="I3" t="str">
        <f t="shared" ref="I3:I51" si="0">IF(H3="","",IF(H3=0,"",H3+(SUM($H$2:$H$1004))/2-H3/2))</f>
        <v/>
      </c>
      <c r="J3" s="20" t="str">
        <f>IF(Value!J3="","",IF(Value!J3=0,"",(Value!J3*100/Feuil1!$C$2-100)/100))</f>
        <v/>
      </c>
      <c r="K3" s="20" t="str">
        <f>IF(Value!K3="","",IF(Value!K3=0,"",(Value!K3*100/Feuil1!$C$2-100)/100))</f>
        <v/>
      </c>
      <c r="L3" s="20" t="str">
        <f>IF(Value!L3="","",IF(Value!L3=0,"",(Value!L3*100/Feuil1!$C$2-100)/100))</f>
        <v/>
      </c>
      <c r="M3" s="20" t="str">
        <f>IF(Value!M3="","",IF(Value!M3=0,"",(Value!M3*100/Feuil1!$C$2-100)/100))</f>
        <v/>
      </c>
      <c r="N3" s="20" t="str">
        <f>IF(Value!N3="","",IF(Value!N3=0,"",(Value!N3*100/Feuil1!$C$2-100)/100))</f>
        <v/>
      </c>
      <c r="O3" s="20" t="str">
        <f>IF(Value!O3="","",IF(Value!O3=0,"",(Value!O3*100/Feuil1!$C$2-100)/100))</f>
        <v/>
      </c>
      <c r="P3" s="20" t="str">
        <f>IF(Value!P3="","",IF(Value!P3=0,"",(Value!P3*100/Feuil1!$C$2-100)/100))</f>
        <v/>
      </c>
      <c r="Q3" s="20" t="str">
        <f>IF(Value!Q3="","",IF(Value!Q3=0,"",(Value!Q3*100/Feuil1!$C$2-100)/100))</f>
        <v/>
      </c>
      <c r="R3" s="20" t="str">
        <f>IF(Value!R3="","",IF(Value!R3=0,"",(Value!R3*100/Feuil1!$C$2-100)/100))</f>
        <v/>
      </c>
    </row>
    <row r="4" spans="1:18">
      <c r="A4" s="12" t="s">
        <v>14</v>
      </c>
      <c r="B4" s="12" t="s">
        <v>15</v>
      </c>
      <c r="C4" s="12">
        <v>15</v>
      </c>
      <c r="D4" s="12">
        <v>1</v>
      </c>
      <c r="E4" s="14">
        <f>Feuil1!J4</f>
        <v>29031</v>
      </c>
      <c r="F4" s="8">
        <f>E4/C4</f>
        <v>1935.4</v>
      </c>
      <c r="G4" s="12">
        <f>Feuil1!L4</f>
        <v>0</v>
      </c>
      <c r="H4" t="str">
        <f>IF(OR(G4="",G4=0,C4="",C4=0,D4="",D4=0),"",3*G4*C4/D4*Feuil1!$B$2/200+1)</f>
        <v/>
      </c>
      <c r="I4" t="str">
        <f t="shared" si="0"/>
        <v/>
      </c>
      <c r="J4" s="20" t="str">
        <f>IF(Value!J4="","",IF(Value!J4=0,"",(Value!J4*100/Feuil1!$C$2-100)/100))</f>
        <v/>
      </c>
      <c r="K4" s="20" t="str">
        <f>IF(Value!K4="","",IF(Value!K4=0,"",(Value!K4*100/Feuil1!$C$2-100)/100))</f>
        <v/>
      </c>
      <c r="L4" s="20" t="str">
        <f>IF(Value!L4="","",IF(Value!L4=0,"",(Value!L4*100/Feuil1!$C$2-100)/100))</f>
        <v/>
      </c>
      <c r="M4" s="20" t="str">
        <f>IF(Value!M4="","",IF(Value!M4=0,"",(Value!M4*100/Feuil1!$C$2-100)/100))</f>
        <v/>
      </c>
      <c r="N4" s="20" t="str">
        <f>IF(Value!N4="","",IF(Value!N4=0,"",(Value!N4*100/Feuil1!$C$2-100)/100))</f>
        <v/>
      </c>
      <c r="O4" s="20" t="str">
        <f>IF(Value!O4="","",IF(Value!O4=0,"",(Value!O4*100/Feuil1!$C$2-100)/100))</f>
        <v/>
      </c>
      <c r="P4" s="20" t="str">
        <f>IF(Value!P4="","",IF(Value!P4=0,"",(Value!P4*100/Feuil1!$C$2-100)/100))</f>
        <v/>
      </c>
      <c r="Q4" s="20" t="str">
        <f>IF(Value!Q4="","",IF(Value!Q4=0,"",(Value!Q4*100/Feuil1!$C$2-100)/100))</f>
        <v/>
      </c>
      <c r="R4" s="20" t="str">
        <f>IF(Value!R4="","",IF(Value!R4=0,"",(Value!R4*100/Feuil1!$C$2-100)/100))</f>
        <v/>
      </c>
    </row>
    <row r="5" spans="1:18">
      <c r="A5" s="12" t="s">
        <v>17</v>
      </c>
      <c r="B5" s="12" t="s">
        <v>18</v>
      </c>
      <c r="C5" s="12">
        <v>15</v>
      </c>
      <c r="D5" s="12">
        <v>1</v>
      </c>
      <c r="E5" s="14">
        <f>Feuil1!J5</f>
        <v>9398</v>
      </c>
      <c r="F5" s="8">
        <f>E5/C5</f>
        <v>626.5333333333333</v>
      </c>
      <c r="G5" s="12">
        <f>Feuil1!L5</f>
        <v>0</v>
      </c>
      <c r="H5" t="str">
        <f>IF(OR(G5="",G5=0,C5="",C5=0,D5="",D5=0),"",3*G5*C5/D5*Feuil1!$B$2/200+1)</f>
        <v/>
      </c>
      <c r="I5" t="str">
        <f t="shared" si="0"/>
        <v/>
      </c>
      <c r="J5" s="20" t="str">
        <f>IF(Value!J5="","",IF(Value!J5=0,"",(Value!J5*100/Feuil1!$C$2-100)/100))</f>
        <v/>
      </c>
      <c r="K5" s="20" t="str">
        <f>IF(Value!K5="","",IF(Value!K5=0,"",(Value!K5*100/Feuil1!$C$2-100)/100))</f>
        <v/>
      </c>
      <c r="L5" s="20" t="str">
        <f>IF(Value!L5="","",IF(Value!L5=0,"",(Value!L5*100/Feuil1!$C$2-100)/100))</f>
        <v/>
      </c>
      <c r="M5" s="20" t="str">
        <f>IF(Value!M5="","",IF(Value!M5=0,"",(Value!M5*100/Feuil1!$C$2-100)/100))</f>
        <v/>
      </c>
      <c r="N5" s="20" t="str">
        <f>IF(Value!N5="","",IF(Value!N5=0,"",(Value!N5*100/Feuil1!$C$2-100)/100))</f>
        <v/>
      </c>
      <c r="O5" s="20" t="str">
        <f>IF(Value!O5="","",IF(Value!O5=0,"",(Value!O5*100/Feuil1!$C$2-100)/100))</f>
        <v/>
      </c>
      <c r="P5" s="20" t="str">
        <f>IF(Value!P5="","",IF(Value!P5=0,"",(Value!P5*100/Feuil1!$C$2-100)/100))</f>
        <v/>
      </c>
      <c r="Q5" s="20" t="str">
        <f>IF(Value!Q5="","",IF(Value!Q5=0,"",(Value!Q5*100/Feuil1!$C$2-100)/100))</f>
        <v/>
      </c>
      <c r="R5" s="20" t="str">
        <f>IF(Value!R5="","",IF(Value!R5=0,"",(Value!R5*100/Feuil1!$C$2-100)/100))</f>
        <v/>
      </c>
    </row>
    <row r="6" spans="1:18">
      <c r="A6" s="12" t="s">
        <v>20</v>
      </c>
      <c r="B6" s="12" t="s">
        <v>21</v>
      </c>
      <c r="C6" s="12">
        <v>6</v>
      </c>
      <c r="D6" s="12">
        <v>1</v>
      </c>
      <c r="E6" s="14">
        <f>Feuil1!J6</f>
        <v>1264</v>
      </c>
      <c r="F6" s="8">
        <f>E6/C6</f>
        <v>210.66666666666666</v>
      </c>
      <c r="G6" s="12">
        <f>Feuil1!L6</f>
        <v>0</v>
      </c>
      <c r="H6" t="str">
        <f>IF(OR(G6="",G6=0,C6="",C6=0,D6="",D6=0),"",3*G6*C6/D6*Feuil1!$B$2/200+1)</f>
        <v/>
      </c>
      <c r="I6" t="str">
        <f t="shared" si="0"/>
        <v/>
      </c>
      <c r="J6" s="20" t="str">
        <f>IF(Value!J6="","",IF(Value!J6=0,"",(Value!J6*100/Feuil1!$C$2-100)/100))</f>
        <v/>
      </c>
      <c r="K6" s="20" t="str">
        <f>IF(Value!K6="","",IF(Value!K6=0,"",(Value!K6*100/Feuil1!$C$2-100)/100))</f>
        <v/>
      </c>
      <c r="L6" s="20" t="str">
        <f>IF(Value!L6="","",IF(Value!L6=0,"",(Value!L6*100/Feuil1!$C$2-100)/100))</f>
        <v/>
      </c>
      <c r="M6" s="20" t="str">
        <f>IF(Value!M6="","",IF(Value!M6=0,"",(Value!M6*100/Feuil1!$C$2-100)/100))</f>
        <v/>
      </c>
      <c r="N6" s="20" t="str">
        <f>IF(Value!N6="","",IF(Value!N6=0,"",(Value!N6*100/Feuil1!$C$2-100)/100))</f>
        <v/>
      </c>
      <c r="O6" s="20" t="str">
        <f>IF(Value!O6="","",IF(Value!O6=0,"",(Value!O6*100/Feuil1!$C$2-100)/100))</f>
        <v/>
      </c>
      <c r="P6" s="20" t="str">
        <f>IF(Value!P6="","",IF(Value!P6=0,"",(Value!P6*100/Feuil1!$C$2-100)/100))</f>
        <v/>
      </c>
      <c r="Q6" s="20" t="str">
        <f>IF(Value!Q6="","",IF(Value!Q6=0,"",(Value!Q6*100/Feuil1!$C$2-100)/100))</f>
        <v/>
      </c>
      <c r="R6" s="20" t="str">
        <f>IF(Value!R6="","",IF(Value!R6=0,"",(Value!R6*100/Feuil1!$C$2-100)/100))</f>
        <v/>
      </c>
    </row>
    <row r="7" spans="1:18">
      <c r="A7" s="12" t="s">
        <v>23</v>
      </c>
      <c r="B7" s="12" t="s">
        <v>24</v>
      </c>
      <c r="C7" s="12">
        <v>10</v>
      </c>
      <c r="D7" s="12">
        <v>1</v>
      </c>
      <c r="E7" s="14">
        <f>Feuil1!J7</f>
        <v>1898</v>
      </c>
      <c r="F7" s="8">
        <f>E7/C7</f>
        <v>189.8</v>
      </c>
      <c r="G7" s="12">
        <f>Feuil1!L7</f>
        <v>0</v>
      </c>
      <c r="H7" t="str">
        <f>IF(OR(G7="",G7=0,C7="",C7=0,D7="",D7=0),"",3*G7*C7/D7*Feuil1!$B$2/200+1)</f>
        <v/>
      </c>
      <c r="I7" t="str">
        <f t="shared" si="0"/>
        <v/>
      </c>
      <c r="J7" s="20" t="str">
        <f>IF(Value!J7="","",IF(Value!J7=0,"",(Value!J7*100/Feuil1!$C$2-100)/100))</f>
        <v/>
      </c>
      <c r="K7" s="20" t="str">
        <f>IF(Value!K7="","",IF(Value!K7=0,"",(Value!K7*100/Feuil1!$C$2-100)/100))</f>
        <v/>
      </c>
      <c r="L7" s="20" t="str">
        <f>IF(Value!L7="","",IF(Value!L7=0,"",(Value!L7*100/Feuil1!$C$2-100)/100))</f>
        <v/>
      </c>
      <c r="M7" s="20" t="str">
        <f>IF(Value!M7="","",IF(Value!M7=0,"",(Value!M7*100/Feuil1!$C$2-100)/100))</f>
        <v/>
      </c>
      <c r="N7" s="20" t="str">
        <f>IF(Value!N7="","",IF(Value!N7=0,"",(Value!N7*100/Feuil1!$C$2-100)/100))</f>
        <v/>
      </c>
      <c r="O7" s="20" t="str">
        <f>IF(Value!O7="","",IF(Value!O7=0,"",(Value!O7*100/Feuil1!$C$2-100)/100))</f>
        <v/>
      </c>
      <c r="P7" s="20" t="str">
        <f>IF(Value!P7="","",IF(Value!P7=0,"",(Value!P7*100/Feuil1!$C$2-100)/100))</f>
        <v/>
      </c>
      <c r="Q7" s="20" t="str">
        <f>IF(Value!Q7="","",IF(Value!Q7=0,"",(Value!Q7*100/Feuil1!$C$2-100)/100))</f>
        <v/>
      </c>
      <c r="R7" s="20" t="str">
        <f>IF(Value!R7="","",IF(Value!R7=0,"",(Value!R7*100/Feuil1!$C$2-100)/100))</f>
        <v/>
      </c>
    </row>
    <row r="8" spans="1:18">
      <c r="A8" s="12" t="s">
        <v>25</v>
      </c>
      <c r="B8" s="12" t="s">
        <v>26</v>
      </c>
      <c r="C8" s="12">
        <v>6</v>
      </c>
      <c r="D8" s="12">
        <v>1</v>
      </c>
      <c r="E8" s="14">
        <f>Feuil1!J8</f>
        <v>1514</v>
      </c>
      <c r="F8" s="8">
        <f>E8/C8</f>
        <v>252.33333333333334</v>
      </c>
      <c r="G8" s="12">
        <f>Feuil1!L8</f>
        <v>0</v>
      </c>
      <c r="H8" t="str">
        <f>IF(OR(G8="",G8=0,C8="",C8=0,D8="",D8=0),"",3*G8*C8/D8*Feuil1!$B$2/200+1)</f>
        <v/>
      </c>
      <c r="I8" t="str">
        <f t="shared" si="0"/>
        <v/>
      </c>
      <c r="J8" s="20" t="str">
        <f>IF(Value!J8="","",IF(Value!J8=0,"",(Value!J8*100/Feuil1!$C$2-100)/100))</f>
        <v/>
      </c>
      <c r="K8" s="20" t="str">
        <f>IF(Value!K8="","",IF(Value!K8=0,"",(Value!K8*100/Feuil1!$C$2-100)/100))</f>
        <v/>
      </c>
      <c r="L8" s="20" t="str">
        <f>IF(Value!L8="","",IF(Value!L8=0,"",(Value!L8*100/Feuil1!$C$2-100)/100))</f>
        <v/>
      </c>
      <c r="M8" s="20" t="str">
        <f>IF(Value!M8="","",IF(Value!M8=0,"",(Value!M8*100/Feuil1!$C$2-100)/100))</f>
        <v/>
      </c>
      <c r="N8" s="20" t="str">
        <f>IF(Value!N8="","",IF(Value!N8=0,"",(Value!N8*100/Feuil1!$C$2-100)/100))</f>
        <v/>
      </c>
      <c r="O8" s="20" t="str">
        <f>IF(Value!O8="","",IF(Value!O8=0,"",(Value!O8*100/Feuil1!$C$2-100)/100))</f>
        <v/>
      </c>
      <c r="P8" s="20" t="str">
        <f>IF(Value!P8="","",IF(Value!P8=0,"",(Value!P8*100/Feuil1!$C$2-100)/100))</f>
        <v/>
      </c>
      <c r="Q8" s="20" t="str">
        <f>IF(Value!Q8="","",IF(Value!Q8=0,"",(Value!Q8*100/Feuil1!$C$2-100)/100))</f>
        <v/>
      </c>
      <c r="R8" s="20" t="str">
        <f>IF(Value!R8="","",IF(Value!R8=0,"",(Value!R8*100/Feuil1!$C$2-100)/100))</f>
        <v/>
      </c>
    </row>
    <row r="9" spans="1:18">
      <c r="A9" s="12" t="s">
        <v>27</v>
      </c>
      <c r="B9" s="12" t="s">
        <v>28</v>
      </c>
      <c r="C9" s="12">
        <v>6</v>
      </c>
      <c r="D9" s="12">
        <v>1</v>
      </c>
      <c r="E9" s="14">
        <f>Feuil1!J9</f>
        <v>1051</v>
      </c>
      <c r="F9" s="8">
        <f>E9/C9</f>
        <v>175.16666666666666</v>
      </c>
      <c r="G9" s="12">
        <f>Feuil1!L9</f>
        <v>0</v>
      </c>
      <c r="H9" t="str">
        <f>IF(OR(G9="",G9=0,C9="",C9=0,D9="",D9=0),"",3*G9*C9/D9*Feuil1!$B$2/200+1)</f>
        <v/>
      </c>
      <c r="I9" t="str">
        <f t="shared" si="0"/>
        <v/>
      </c>
      <c r="J9" s="20" t="str">
        <f>IF(Value!J9="","",IF(Value!J9=0,"",(Value!J9*100/Feuil1!$C$2-100)/100))</f>
        <v/>
      </c>
      <c r="K9" s="20" t="str">
        <f>IF(Value!K9="","",IF(Value!K9=0,"",(Value!K9*100/Feuil1!$C$2-100)/100))</f>
        <v/>
      </c>
      <c r="L9" s="20" t="str">
        <f>IF(Value!L9="","",IF(Value!L9=0,"",(Value!L9*100/Feuil1!$C$2-100)/100))</f>
        <v/>
      </c>
      <c r="M9" s="20" t="str">
        <f>IF(Value!M9="","",IF(Value!M9=0,"",(Value!M9*100/Feuil1!$C$2-100)/100))</f>
        <v/>
      </c>
      <c r="N9" s="20" t="str">
        <f>IF(Value!N9="","",IF(Value!N9=0,"",(Value!N9*100/Feuil1!$C$2-100)/100))</f>
        <v/>
      </c>
      <c r="O9" s="20" t="str">
        <f>IF(Value!O9="","",IF(Value!O9=0,"",(Value!O9*100/Feuil1!$C$2-100)/100))</f>
        <v/>
      </c>
      <c r="P9" s="20" t="str">
        <f>IF(Value!P9="","",IF(Value!P9=0,"",(Value!P9*100/Feuil1!$C$2-100)/100))</f>
        <v/>
      </c>
      <c r="Q9" s="20" t="str">
        <f>IF(Value!Q9="","",IF(Value!Q9=0,"",(Value!Q9*100/Feuil1!$C$2-100)/100))</f>
        <v/>
      </c>
      <c r="R9" s="20" t="str">
        <f>IF(Value!R9="","",IF(Value!R9=0,"",(Value!R9*100/Feuil1!$C$2-100)/100))</f>
        <v/>
      </c>
    </row>
    <row r="10" spans="1:18">
      <c r="A10" s="12" t="s">
        <v>29</v>
      </c>
      <c r="B10" s="12" t="s">
        <v>30</v>
      </c>
      <c r="C10" s="12">
        <v>10</v>
      </c>
      <c r="D10" s="12">
        <v>1</v>
      </c>
      <c r="E10" s="14">
        <f>Feuil1!J10</f>
        <v>3961</v>
      </c>
      <c r="F10" s="8">
        <f>E10/C10</f>
        <v>396.1</v>
      </c>
      <c r="G10" s="12">
        <f>Feuil1!L10</f>
        <v>0</v>
      </c>
      <c r="H10" t="str">
        <f>IF(OR(G10="",G10=0,C10="",C10=0,D10="",D10=0),"",3*G10*C10/D10*Feuil1!$B$2/200+1)</f>
        <v/>
      </c>
      <c r="I10" t="str">
        <f t="shared" si="0"/>
        <v/>
      </c>
      <c r="J10" s="20" t="str">
        <f>IF(Value!J10="","",IF(Value!J10=0,"",(Value!J10*100/Feuil1!$C$2-100)/100))</f>
        <v/>
      </c>
      <c r="K10" s="20" t="str">
        <f>IF(Value!K10="","",IF(Value!K10=0,"",(Value!K10*100/Feuil1!$C$2-100)/100))</f>
        <v/>
      </c>
      <c r="L10" s="20" t="str">
        <f>IF(Value!L10="","",IF(Value!L10=0,"",(Value!L10*100/Feuil1!$C$2-100)/100))</f>
        <v/>
      </c>
      <c r="M10" s="20" t="str">
        <f>IF(Value!M10="","",IF(Value!M10=0,"",(Value!M10*100/Feuil1!$C$2-100)/100))</f>
        <v/>
      </c>
      <c r="N10" s="20" t="str">
        <f>IF(Value!N10="","",IF(Value!N10=0,"",(Value!N10*100/Feuil1!$C$2-100)/100))</f>
        <v/>
      </c>
      <c r="O10" s="20" t="str">
        <f>IF(Value!O10="","",IF(Value!O10=0,"",(Value!O10*100/Feuil1!$C$2-100)/100))</f>
        <v/>
      </c>
      <c r="P10" s="20" t="str">
        <f>IF(Value!P10="","",IF(Value!P10=0,"",(Value!P10*100/Feuil1!$C$2-100)/100))</f>
        <v/>
      </c>
      <c r="Q10" s="20" t="str">
        <f>IF(Value!Q10="","",IF(Value!Q10=0,"",(Value!Q10*100/Feuil1!$C$2-100)/100))</f>
        <v/>
      </c>
      <c r="R10" s="20" t="str">
        <f>IF(Value!R10="","",IF(Value!R10=0,"",(Value!R10*100/Feuil1!$C$2-100)/100))</f>
        <v/>
      </c>
    </row>
    <row r="11" spans="1:18">
      <c r="A11" s="12" t="s">
        <v>31</v>
      </c>
      <c r="B11" s="12" t="s">
        <v>32</v>
      </c>
      <c r="C11" s="12">
        <v>6</v>
      </c>
      <c r="D11" s="12">
        <v>1</v>
      </c>
      <c r="E11" s="14">
        <f>Feuil1!J11</f>
        <v>1209</v>
      </c>
      <c r="F11" s="8">
        <f>E11/C11</f>
        <v>201.5</v>
      </c>
      <c r="G11" s="12">
        <f>Feuil1!L11</f>
        <v>0</v>
      </c>
      <c r="H11" t="str">
        <f>IF(OR(G11="",G11=0,C11="",C11=0,D11="",D11=0),"",3*G11*C11/D11*Feuil1!$B$2/200+1)</f>
        <v/>
      </c>
      <c r="I11" t="str">
        <f t="shared" si="0"/>
        <v/>
      </c>
      <c r="J11" s="20" t="str">
        <f>IF(Value!J11="","",IF(Value!J11=0,"",(Value!J11*100/Feuil1!$C$2-100)/100))</f>
        <v/>
      </c>
      <c r="K11" s="20" t="str">
        <f>IF(Value!K11="","",IF(Value!K11=0,"",(Value!K11*100/Feuil1!$C$2-100)/100))</f>
        <v/>
      </c>
      <c r="L11" s="20" t="str">
        <f>IF(Value!L11="","",IF(Value!L11=0,"",(Value!L11*100/Feuil1!$C$2-100)/100))</f>
        <v/>
      </c>
      <c r="M11" s="20" t="str">
        <f>IF(Value!M11="","",IF(Value!M11=0,"",(Value!M11*100/Feuil1!$C$2-100)/100))</f>
        <v/>
      </c>
      <c r="N11" s="20" t="str">
        <f>IF(Value!N11="","",IF(Value!N11=0,"",(Value!N11*100/Feuil1!$C$2-100)/100))</f>
        <v/>
      </c>
      <c r="O11" s="20" t="str">
        <f>IF(Value!O11="","",IF(Value!O11=0,"",(Value!O11*100/Feuil1!$C$2-100)/100))</f>
        <v/>
      </c>
      <c r="P11" s="20" t="str">
        <f>IF(Value!P11="","",IF(Value!P11=0,"",(Value!P11*100/Feuil1!$C$2-100)/100))</f>
        <v/>
      </c>
      <c r="Q11" s="20" t="str">
        <f>IF(Value!Q11="","",IF(Value!Q11=0,"",(Value!Q11*100/Feuil1!$C$2-100)/100))</f>
        <v/>
      </c>
      <c r="R11" s="20" t="str">
        <f>IF(Value!R11="","",IF(Value!R11=0,"",(Value!R11*100/Feuil1!$C$2-100)/100))</f>
        <v/>
      </c>
    </row>
    <row r="12" spans="1:18">
      <c r="A12" s="12" t="s">
        <v>33</v>
      </c>
      <c r="B12" s="12" t="s">
        <v>34</v>
      </c>
      <c r="C12" s="12">
        <v>6</v>
      </c>
      <c r="D12" s="12">
        <v>1</v>
      </c>
      <c r="E12" s="14">
        <f>Feuil1!J12</f>
        <v>1438</v>
      </c>
      <c r="F12" s="8">
        <f>E12/C12</f>
        <v>239.66666666666666</v>
      </c>
      <c r="G12" s="12">
        <f>Feuil1!L12</f>
        <v>0</v>
      </c>
      <c r="H12" t="str">
        <f>IF(OR(G12="",G12=0,C12="",C12=0,D12="",D12=0),"",3*G12*C12/D12*Feuil1!$B$2/200+1)</f>
        <v/>
      </c>
      <c r="I12" t="str">
        <f t="shared" si="0"/>
        <v/>
      </c>
      <c r="J12" s="20" t="str">
        <f>IF(Value!J12="","",IF(Value!J12=0,"",(Value!J12*100/Feuil1!$C$2-100)/100))</f>
        <v/>
      </c>
      <c r="K12" s="20" t="str">
        <f>IF(Value!K12="","",IF(Value!K12=0,"",(Value!K12*100/Feuil1!$C$2-100)/100))</f>
        <v/>
      </c>
      <c r="L12" s="20" t="str">
        <f>IF(Value!L12="","",IF(Value!L12=0,"",(Value!L12*100/Feuil1!$C$2-100)/100))</f>
        <v/>
      </c>
      <c r="M12" s="20" t="str">
        <f>IF(Value!M12="","",IF(Value!M12=0,"",(Value!M12*100/Feuil1!$C$2-100)/100))</f>
        <v/>
      </c>
      <c r="N12" s="20" t="str">
        <f>IF(Value!N12="","",IF(Value!N12=0,"",(Value!N12*100/Feuil1!$C$2-100)/100))</f>
        <v/>
      </c>
      <c r="O12" s="20" t="str">
        <f>IF(Value!O12="","",IF(Value!O12=0,"",(Value!O12*100/Feuil1!$C$2-100)/100))</f>
        <v/>
      </c>
      <c r="P12" s="20" t="str">
        <f>IF(Value!P12="","",IF(Value!P12=0,"",(Value!P12*100/Feuil1!$C$2-100)/100))</f>
        <v/>
      </c>
      <c r="Q12" s="20" t="str">
        <f>IF(Value!Q12="","",IF(Value!Q12=0,"",(Value!Q12*100/Feuil1!$C$2-100)/100))</f>
        <v/>
      </c>
      <c r="R12" s="20" t="str">
        <f>IF(Value!R12="","",IF(Value!R12=0,"",(Value!R12*100/Feuil1!$C$2-100)/100))</f>
        <v/>
      </c>
    </row>
    <row r="13" spans="1:18">
      <c r="A13" s="12" t="s">
        <v>35</v>
      </c>
      <c r="B13" s="12" t="s">
        <v>36</v>
      </c>
      <c r="C13" s="12">
        <v>1</v>
      </c>
      <c r="D13" s="12">
        <v>1</v>
      </c>
      <c r="E13" s="14">
        <f>Feuil1!J13</f>
        <v>99</v>
      </c>
      <c r="F13" s="8">
        <f>E13/C13</f>
        <v>99</v>
      </c>
      <c r="G13" s="12">
        <f>Feuil1!L13</f>
        <v>0</v>
      </c>
      <c r="H13" t="str">
        <f>IF(OR(G13="",G13=0,C13="",C13=0,D13="",D13=0),"",3*G13*C13/D13*Feuil1!$B$2/200+1)</f>
        <v/>
      </c>
      <c r="I13" t="str">
        <f t="shared" si="0"/>
        <v/>
      </c>
      <c r="J13" s="20" t="str">
        <f>IF(Value!J13="","",IF(Value!J13=0,"",(Value!J13*100/Feuil1!$C$2-100)/100))</f>
        <v/>
      </c>
      <c r="K13" s="20" t="str">
        <f>IF(Value!K13="","",IF(Value!K13=0,"",(Value!K13*100/Feuil1!$C$2-100)/100))</f>
        <v/>
      </c>
      <c r="L13" s="20" t="str">
        <f>IF(Value!L13="","",IF(Value!L13=0,"",(Value!L13*100/Feuil1!$C$2-100)/100))</f>
        <v/>
      </c>
      <c r="M13" s="20" t="str">
        <f>IF(Value!M13="","",IF(Value!M13=0,"",(Value!M13*100/Feuil1!$C$2-100)/100))</f>
        <v/>
      </c>
      <c r="N13" s="20" t="str">
        <f>IF(Value!N13="","",IF(Value!N13=0,"",(Value!N13*100/Feuil1!$C$2-100)/100))</f>
        <v/>
      </c>
      <c r="O13" s="20" t="str">
        <f>IF(Value!O13="","",IF(Value!O13=0,"",(Value!O13*100/Feuil1!$C$2-100)/100))</f>
        <v/>
      </c>
      <c r="P13" s="20" t="str">
        <f>IF(Value!P13="","",IF(Value!P13=0,"",(Value!P13*100/Feuil1!$C$2-100)/100))</f>
        <v/>
      </c>
      <c r="Q13" s="20" t="str">
        <f>IF(Value!Q13="","",IF(Value!Q13=0,"",(Value!Q13*100/Feuil1!$C$2-100)/100))</f>
        <v/>
      </c>
      <c r="R13" s="20" t="str">
        <f>IF(Value!R13="","",IF(Value!R13=0,"",(Value!R13*100/Feuil1!$C$2-100)/100))</f>
        <v/>
      </c>
    </row>
    <row r="14" spans="1:18">
      <c r="A14" s="12" t="s">
        <v>37</v>
      </c>
      <c r="B14" s="12" t="s">
        <v>38</v>
      </c>
      <c r="C14" s="12">
        <v>1</v>
      </c>
      <c r="D14" s="12">
        <v>1</v>
      </c>
      <c r="E14" s="14">
        <f>Feuil1!J14</f>
        <v>75</v>
      </c>
      <c r="F14" s="8">
        <f>E14/C14</f>
        <v>75</v>
      </c>
      <c r="G14" s="12">
        <f>Feuil1!L14</f>
        <v>30</v>
      </c>
      <c r="H14">
        <f>IF(OR(G14="",G14=0,C14="",C14=0,D14="",D14=0),"",3*G14*C14/D14*Feuil1!$B$2/200+1)</f>
        <v>36.549999999999997</v>
      </c>
      <c r="I14">
        <f t="shared" si="0"/>
        <v>168.4</v>
      </c>
      <c r="J14" s="20">
        <f>IF(Value!J14="","",IF(Value!J14=0,"",(Value!J14*100/Feuil1!$C$2-100)/100))</f>
        <v>0.14818181818181814</v>
      </c>
      <c r="K14" s="20">
        <f>IF(Value!K14="","",IF(Value!K14=0,"",(Value!K14*100/Feuil1!$C$2-100)/100))</f>
        <v>-0.83925454545454548</v>
      </c>
      <c r="L14" s="20">
        <f>IF(Value!L14="","",IF(Value!L14=0,"",(Value!L14*100/Feuil1!$C$2-100)/100))</f>
        <v>-0.83931371315956937</v>
      </c>
      <c r="M14" s="20">
        <f>IF(Value!M14="","",IF(Value!M14=0,"",(Value!M14*100/Feuil1!$C$2-100)/100))</f>
        <v>-0.83937283732223467</v>
      </c>
      <c r="N14" s="20">
        <f>IF(Value!N14="","",IF(Value!N14=0,"",(Value!N14*100/Feuil1!$C$2-100)/100))</f>
        <v>-0.8394319179905898</v>
      </c>
      <c r="O14" s="20">
        <f>IF(Value!O14="","",IF(Value!O14=0,"",(Value!O14*100/Feuil1!$C$2-100)/100))</f>
        <v>-0.8398442688496407</v>
      </c>
      <c r="P14" s="20">
        <f>IF(Value!P14="","",IF(Value!P14=0,"",(Value!P14*100/Feuil1!$C$2-100)/100))</f>
        <v>-0.84496328303154233</v>
      </c>
      <c r="Q14" s="20">
        <f>IF(Value!Q14="","",IF(Value!Q14=0,"",(Value!Q14*100/Feuil1!$C$2-100)/100))</f>
        <v>-0.88251456121619343</v>
      </c>
      <c r="R14" s="20">
        <f>IF(Value!R14="","",IF(Value!R14=0,"",(Value!R14*100/Feuil1!$C$2-100)/100))</f>
        <v>-0.84496328303154233</v>
      </c>
    </row>
    <row r="15" spans="1:18">
      <c r="A15" s="12" t="s">
        <v>39</v>
      </c>
      <c r="B15" s="12" t="s">
        <v>40</v>
      </c>
      <c r="C15" s="12">
        <v>10</v>
      </c>
      <c r="D15" s="12">
        <v>1</v>
      </c>
      <c r="E15" s="14">
        <f>Feuil1!J15</f>
        <v>2335</v>
      </c>
      <c r="F15" s="8">
        <f>E15/C15</f>
        <v>233.5</v>
      </c>
      <c r="G15" s="12">
        <f>Feuil1!L15</f>
        <v>0</v>
      </c>
      <c r="H15" t="str">
        <f>IF(OR(G15="",G15=0,C15="",C15=0,D15="",D15=0),"",3*G15*C15/D15*Feuil1!$B$2/200+1)</f>
        <v/>
      </c>
      <c r="I15" t="str">
        <f t="shared" si="0"/>
        <v/>
      </c>
      <c r="J15" s="20" t="str">
        <f>IF(Value!J15="","",IF(Value!J15=0,"",(Value!J15*100/Feuil1!$C$2-100)/100))</f>
        <v/>
      </c>
      <c r="K15" s="20" t="str">
        <f>IF(Value!K15="","",IF(Value!K15=0,"",(Value!K15*100/Feuil1!$C$2-100)/100))</f>
        <v/>
      </c>
      <c r="L15" s="20" t="str">
        <f>IF(Value!L15="","",IF(Value!L15=0,"",(Value!L15*100/Feuil1!$C$2-100)/100))</f>
        <v/>
      </c>
      <c r="M15" s="20" t="str">
        <f>IF(Value!M15="","",IF(Value!M15=0,"",(Value!M15*100/Feuil1!$C$2-100)/100))</f>
        <v/>
      </c>
      <c r="N15" s="20" t="str">
        <f>IF(Value!N15="","",IF(Value!N15=0,"",(Value!N15*100/Feuil1!$C$2-100)/100))</f>
        <v/>
      </c>
      <c r="O15" s="20" t="str">
        <f>IF(Value!O15="","",IF(Value!O15=0,"",(Value!O15*100/Feuil1!$C$2-100)/100))</f>
        <v/>
      </c>
      <c r="P15" s="20" t="str">
        <f>IF(Value!P15="","",IF(Value!P15=0,"",(Value!P15*100/Feuil1!$C$2-100)/100))</f>
        <v/>
      </c>
      <c r="Q15" s="20" t="str">
        <f>IF(Value!Q15="","",IF(Value!Q15=0,"",(Value!Q15*100/Feuil1!$C$2-100)/100))</f>
        <v/>
      </c>
      <c r="R15" s="20" t="str">
        <f>IF(Value!R15="","",IF(Value!R15=0,"",(Value!R15*100/Feuil1!$C$2-100)/100))</f>
        <v/>
      </c>
    </row>
    <row r="16" spans="1:18">
      <c r="A16" s="12" t="s">
        <v>41</v>
      </c>
      <c r="B16" s="12" t="s">
        <v>42</v>
      </c>
      <c r="C16" s="12">
        <v>20</v>
      </c>
      <c r="D16" s="12">
        <v>1</v>
      </c>
      <c r="E16" s="14">
        <f>Feuil1!J16</f>
        <v>883</v>
      </c>
      <c r="F16" s="8">
        <f>E16/C16</f>
        <v>44.15</v>
      </c>
      <c r="G16" s="12">
        <f>Feuil1!L16</f>
        <v>4.5</v>
      </c>
      <c r="H16">
        <f>IF(OR(G16="",G16=0,C16="",C16=0,D16="",D16=0),"",3*G16*C16/D16*Feuil1!$B$2/200+1)</f>
        <v>107.65</v>
      </c>
      <c r="I16">
        <f t="shared" si="0"/>
        <v>203.95</v>
      </c>
      <c r="J16" s="20">
        <f>IF(Value!J16="","",IF(Value!J16=0,"",(Value!J16*100/Feuil1!$C$2-100)/100))</f>
        <v>-0.18141886363636359</v>
      </c>
      <c r="K16" s="20">
        <f>IF(Value!K16="","",IF(Value!K16=0,"",(Value!K16*100/Feuil1!$C$2-100)/100))</f>
        <v>-0.88539864090909093</v>
      </c>
      <c r="L16" s="20">
        <f>IF(Value!L16="","",IF(Value!L16=0,"",(Value!L16*100/Feuil1!$C$2-100)/100))</f>
        <v>-0.88544082374672817</v>
      </c>
      <c r="M16" s="20">
        <f>IF(Value!M16="","",IF(Value!M16=0,"",(Value!M16*100/Feuil1!$C$2-100)/100))</f>
        <v>-0.88548297554141331</v>
      </c>
      <c r="N16" s="20">
        <f>IF(Value!N16="","",IF(Value!N16=0,"",(Value!N16*100/Feuil1!$C$2-100)/100))</f>
        <v>-0.88552509632740173</v>
      </c>
      <c r="O16" s="20">
        <f>IF(Value!O16="","",IF(Value!O16=0,"",(Value!O16*100/Feuil1!$C$2-100)/100))</f>
        <v>-0.88581907645270686</v>
      </c>
      <c r="P16" s="20">
        <f>IF(Value!P16="","",IF(Value!P16=0,"",(Value!P16*100/Feuil1!$C$2-100)/100))</f>
        <v>-0.88946861033290558</v>
      </c>
      <c r="Q16" s="20">
        <f>IF(Value!Q16="","",IF(Value!Q16=0,"",(Value!Q16*100/Feuil1!$C$2-100)/100))</f>
        <v>-0.91624030056657835</v>
      </c>
      <c r="R16" s="20">
        <f>IF(Value!R16="","",IF(Value!R16=0,"",(Value!R16*100/Feuil1!$C$2-100)/100))</f>
        <v>-0.88946861033290558</v>
      </c>
    </row>
    <row r="17" spans="1:18">
      <c r="A17" s="12" t="s">
        <v>43</v>
      </c>
      <c r="B17" s="12" t="s">
        <v>44</v>
      </c>
      <c r="C17" s="12">
        <v>5</v>
      </c>
      <c r="D17" s="12">
        <v>1</v>
      </c>
      <c r="E17" s="14">
        <f>Feuil1!J17</f>
        <v>1237</v>
      </c>
      <c r="F17" s="8">
        <f>E17/C17</f>
        <v>247.4</v>
      </c>
      <c r="G17" s="12">
        <f>Feuil1!L17</f>
        <v>0</v>
      </c>
      <c r="H17" t="str">
        <f>IF(OR(G17="",G17=0,C17="",C17=0,D17="",D17=0),"",3*G17*C17/D17*Feuil1!$B$2/200+1)</f>
        <v/>
      </c>
      <c r="I17" t="str">
        <f t="shared" si="0"/>
        <v/>
      </c>
      <c r="J17" s="20" t="str">
        <f>IF(Value!J17="","",IF(Value!J17=0,"",(Value!J17*100/Feuil1!$C$2-100)/100))</f>
        <v/>
      </c>
      <c r="K17" s="20" t="str">
        <f>IF(Value!K17="","",IF(Value!K17=0,"",(Value!K17*100/Feuil1!$C$2-100)/100))</f>
        <v/>
      </c>
      <c r="L17" s="20" t="str">
        <f>IF(Value!L17="","",IF(Value!L17=0,"",(Value!L17*100/Feuil1!$C$2-100)/100))</f>
        <v/>
      </c>
      <c r="M17" s="20" t="str">
        <f>IF(Value!M17="","",IF(Value!M17=0,"",(Value!M17*100/Feuil1!$C$2-100)/100))</f>
        <v/>
      </c>
      <c r="N17" s="20" t="str">
        <f>IF(Value!N17="","",IF(Value!N17=0,"",(Value!N17*100/Feuil1!$C$2-100)/100))</f>
        <v/>
      </c>
      <c r="O17" s="20" t="str">
        <f>IF(Value!O17="","",IF(Value!O17=0,"",(Value!O17*100/Feuil1!$C$2-100)/100))</f>
        <v/>
      </c>
      <c r="P17" s="20" t="str">
        <f>IF(Value!P17="","",IF(Value!P17=0,"",(Value!P17*100/Feuil1!$C$2-100)/100))</f>
        <v/>
      </c>
      <c r="Q17" s="20" t="str">
        <f>IF(Value!Q17="","",IF(Value!Q17=0,"",(Value!Q17*100/Feuil1!$C$2-100)/100))</f>
        <v/>
      </c>
      <c r="R17" s="20" t="str">
        <f>IF(Value!R17="","",IF(Value!R17=0,"",(Value!R17*100/Feuil1!$C$2-100)/100))</f>
        <v/>
      </c>
    </row>
    <row r="18" spans="1:18">
      <c r="A18" s="12" t="s">
        <v>45</v>
      </c>
      <c r="B18" s="12" t="s">
        <v>46</v>
      </c>
      <c r="C18" s="12">
        <v>5</v>
      </c>
      <c r="D18" s="12">
        <v>1</v>
      </c>
      <c r="E18" s="14">
        <f>Feuil1!J18</f>
        <v>1562</v>
      </c>
      <c r="F18" s="8">
        <f>E18/C18</f>
        <v>312.39999999999998</v>
      </c>
      <c r="G18" s="12">
        <f>Feuil1!L18</f>
        <v>0</v>
      </c>
      <c r="H18" t="str">
        <f>IF(OR(G18="",G18=0,C18="",C18=0,D18="",D18=0),"",3*G18*C18/D18*Feuil1!$B$2/200+1)</f>
        <v/>
      </c>
      <c r="I18" t="str">
        <f t="shared" si="0"/>
        <v/>
      </c>
      <c r="J18" s="20" t="str">
        <f>IF(Value!J18="","",IF(Value!J18=0,"",(Value!J18*100/Feuil1!$C$2-100)/100))</f>
        <v/>
      </c>
      <c r="K18" s="20" t="str">
        <f>IF(Value!K18="","",IF(Value!K18=0,"",(Value!K18*100/Feuil1!$C$2-100)/100))</f>
        <v/>
      </c>
      <c r="L18" s="20" t="str">
        <f>IF(Value!L18="","",IF(Value!L18=0,"",(Value!L18*100/Feuil1!$C$2-100)/100))</f>
        <v/>
      </c>
      <c r="M18" s="20" t="str">
        <f>IF(Value!M18="","",IF(Value!M18=0,"",(Value!M18*100/Feuil1!$C$2-100)/100))</f>
        <v/>
      </c>
      <c r="N18" s="20" t="str">
        <f>IF(Value!N18="","",IF(Value!N18=0,"",(Value!N18*100/Feuil1!$C$2-100)/100))</f>
        <v/>
      </c>
      <c r="O18" s="20" t="str">
        <f>IF(Value!O18="","",IF(Value!O18=0,"",(Value!O18*100/Feuil1!$C$2-100)/100))</f>
        <v/>
      </c>
      <c r="P18" s="20" t="str">
        <f>IF(Value!P18="","",IF(Value!P18=0,"",(Value!P18*100/Feuil1!$C$2-100)/100))</f>
        <v/>
      </c>
      <c r="Q18" s="20" t="str">
        <f>IF(Value!Q18="","",IF(Value!Q18=0,"",(Value!Q18*100/Feuil1!$C$2-100)/100))</f>
        <v/>
      </c>
      <c r="R18" s="20" t="str">
        <f>IF(Value!R18="","",IF(Value!R18=0,"",(Value!R18*100/Feuil1!$C$2-100)/100))</f>
        <v/>
      </c>
    </row>
    <row r="19" spans="1:18">
      <c r="A19" s="12" t="s">
        <v>47</v>
      </c>
      <c r="B19" s="12" t="s">
        <v>50</v>
      </c>
      <c r="C19" s="12">
        <v>5</v>
      </c>
      <c r="D19" s="12">
        <v>1</v>
      </c>
      <c r="E19" s="14">
        <f>Feuil1!J19</f>
        <v>1208</v>
      </c>
      <c r="F19" s="8">
        <f>E19/C19</f>
        <v>241.6</v>
      </c>
      <c r="G19" s="12">
        <f>Feuil1!L19</f>
        <v>0</v>
      </c>
      <c r="H19" t="str">
        <f>IF(OR(G19="",G19=0,C19="",C19=0,D19="",D19=0),"",3*G19*C19/D19*Feuil1!$B$2/200+1)</f>
        <v/>
      </c>
      <c r="I19" t="str">
        <f t="shared" si="0"/>
        <v/>
      </c>
      <c r="J19" s="20" t="str">
        <f>IF(Value!J19="","",IF(Value!J19=0,"",(Value!J19*100/Feuil1!$C$2-100)/100))</f>
        <v/>
      </c>
      <c r="K19" s="20" t="str">
        <f>IF(Value!K19="","",IF(Value!K19=0,"",(Value!K19*100/Feuil1!$C$2-100)/100))</f>
        <v/>
      </c>
      <c r="L19" s="20" t="str">
        <f>IF(Value!L19="","",IF(Value!L19=0,"",(Value!L19*100/Feuil1!$C$2-100)/100))</f>
        <v/>
      </c>
      <c r="M19" s="20" t="str">
        <f>IF(Value!M19="","",IF(Value!M19=0,"",(Value!M19*100/Feuil1!$C$2-100)/100))</f>
        <v/>
      </c>
      <c r="N19" s="20" t="str">
        <f>IF(Value!N19="","",IF(Value!N19=0,"",(Value!N19*100/Feuil1!$C$2-100)/100))</f>
        <v/>
      </c>
      <c r="O19" s="20" t="str">
        <f>IF(Value!O19="","",IF(Value!O19=0,"",(Value!O19*100/Feuil1!$C$2-100)/100))</f>
        <v/>
      </c>
      <c r="P19" s="20" t="str">
        <f>IF(Value!P19="","",IF(Value!P19=0,"",(Value!P19*100/Feuil1!$C$2-100)/100))</f>
        <v/>
      </c>
      <c r="Q19" s="20" t="str">
        <f>IF(Value!Q19="","",IF(Value!Q19=0,"",(Value!Q19*100/Feuil1!$C$2-100)/100))</f>
        <v/>
      </c>
      <c r="R19" s="20" t="str">
        <f>IF(Value!R19="","",IF(Value!R19=0,"",(Value!R19*100/Feuil1!$C$2-100)/100))</f>
        <v/>
      </c>
    </row>
    <row r="20" spans="1:18">
      <c r="A20" s="12" t="s">
        <v>49</v>
      </c>
      <c r="B20" s="12" t="s">
        <v>48</v>
      </c>
      <c r="C20" s="12">
        <v>5</v>
      </c>
      <c r="D20" s="12">
        <v>1</v>
      </c>
      <c r="E20" s="14">
        <f>Feuil1!J20</f>
        <v>951</v>
      </c>
      <c r="F20" s="8">
        <f>E20/C20</f>
        <v>190.2</v>
      </c>
      <c r="G20" s="12">
        <f>Feuil1!L20</f>
        <v>0</v>
      </c>
      <c r="H20" t="str">
        <f>IF(OR(G20="",G20=0,C20="",C20=0,D20="",D20=0),"",3*G20*C20/D20*Feuil1!$B$2/200+1)</f>
        <v/>
      </c>
      <c r="I20" t="str">
        <f t="shared" si="0"/>
        <v/>
      </c>
      <c r="J20" s="20" t="str">
        <f>IF(Value!J20="","",IF(Value!J20=0,"",(Value!J20*100/Feuil1!$C$2-100)/100))</f>
        <v/>
      </c>
      <c r="K20" s="20" t="str">
        <f>IF(Value!K20="","",IF(Value!K20=0,"",(Value!K20*100/Feuil1!$C$2-100)/100))</f>
        <v/>
      </c>
      <c r="L20" s="20" t="str">
        <f>IF(Value!L20="","",IF(Value!L20=0,"",(Value!L20*100/Feuil1!$C$2-100)/100))</f>
        <v/>
      </c>
      <c r="M20" s="20" t="str">
        <f>IF(Value!M20="","",IF(Value!M20=0,"",(Value!M20*100/Feuil1!$C$2-100)/100))</f>
        <v/>
      </c>
      <c r="N20" s="20" t="str">
        <f>IF(Value!N20="","",IF(Value!N20=0,"",(Value!N20*100/Feuil1!$C$2-100)/100))</f>
        <v/>
      </c>
      <c r="O20" s="20" t="str">
        <f>IF(Value!O20="","",IF(Value!O20=0,"",(Value!O20*100/Feuil1!$C$2-100)/100))</f>
        <v/>
      </c>
      <c r="P20" s="20" t="str">
        <f>IF(Value!P20="","",IF(Value!P20=0,"",(Value!P20*100/Feuil1!$C$2-100)/100))</f>
        <v/>
      </c>
      <c r="Q20" s="20" t="str">
        <f>IF(Value!Q20="","",IF(Value!Q20=0,"",(Value!Q20*100/Feuil1!$C$2-100)/100))</f>
        <v/>
      </c>
      <c r="R20" s="20" t="str">
        <f>IF(Value!R20="","",IF(Value!R20=0,"",(Value!R20*100/Feuil1!$C$2-100)/100))</f>
        <v/>
      </c>
    </row>
    <row r="21" spans="1:18">
      <c r="A21" s="12" t="s">
        <v>51</v>
      </c>
      <c r="B21" s="12" t="s">
        <v>52</v>
      </c>
      <c r="C21" s="12">
        <v>5</v>
      </c>
      <c r="D21" s="12">
        <v>1</v>
      </c>
      <c r="E21" s="14">
        <f>Feuil1!J21</f>
        <v>1143</v>
      </c>
      <c r="F21" s="8">
        <f>E21/C21</f>
        <v>228.6</v>
      </c>
      <c r="G21" s="12">
        <f>Feuil1!L21</f>
        <v>0</v>
      </c>
      <c r="H21" t="str">
        <f>IF(OR(G21="",G21=0,C21="",C21=0,D21="",D21=0),"",3*G21*C21/D21*Feuil1!$B$2/200+1)</f>
        <v/>
      </c>
      <c r="I21" t="str">
        <f t="shared" si="0"/>
        <v/>
      </c>
      <c r="J21" s="20" t="str">
        <f>IF(Value!J21="","",IF(Value!J21=0,"",(Value!J21*100/Feuil1!$C$2-100)/100))</f>
        <v/>
      </c>
      <c r="K21" s="20" t="str">
        <f>IF(Value!K21="","",IF(Value!K21=0,"",(Value!K21*100/Feuil1!$C$2-100)/100))</f>
        <v/>
      </c>
      <c r="L21" s="20" t="str">
        <f>IF(Value!L21="","",IF(Value!L21=0,"",(Value!L21*100/Feuil1!$C$2-100)/100))</f>
        <v/>
      </c>
      <c r="M21" s="20" t="str">
        <f>IF(Value!M21="","",IF(Value!M21=0,"",(Value!M21*100/Feuil1!$C$2-100)/100))</f>
        <v/>
      </c>
      <c r="N21" s="20" t="str">
        <f>IF(Value!N21="","",IF(Value!N21=0,"",(Value!N21*100/Feuil1!$C$2-100)/100))</f>
        <v/>
      </c>
      <c r="O21" s="20" t="str">
        <f>IF(Value!O21="","",IF(Value!O21=0,"",(Value!O21*100/Feuil1!$C$2-100)/100))</f>
        <v/>
      </c>
      <c r="P21" s="20" t="str">
        <f>IF(Value!P21="","",IF(Value!P21=0,"",(Value!P21*100/Feuil1!$C$2-100)/100))</f>
        <v/>
      </c>
      <c r="Q21" s="20" t="str">
        <f>IF(Value!Q21="","",IF(Value!Q21=0,"",(Value!Q21*100/Feuil1!$C$2-100)/100))</f>
        <v/>
      </c>
      <c r="R21" s="20" t="str">
        <f>IF(Value!R21="","",IF(Value!R21=0,"",(Value!R21*100/Feuil1!$C$2-100)/100))</f>
        <v/>
      </c>
    </row>
    <row r="22" spans="1:18">
      <c r="A22" s="12" t="s">
        <v>53</v>
      </c>
      <c r="B22" s="12" t="s">
        <v>54</v>
      </c>
      <c r="C22" s="12">
        <v>5</v>
      </c>
      <c r="D22" s="12">
        <v>1</v>
      </c>
      <c r="E22" s="14">
        <f>Feuil1!J22</f>
        <v>315</v>
      </c>
      <c r="F22" s="8">
        <f>E22/C22</f>
        <v>63</v>
      </c>
      <c r="G22" s="12">
        <f>Feuil1!L22</f>
        <v>0</v>
      </c>
      <c r="H22" t="str">
        <f>IF(OR(G22="",G22=0,C22="",C22=0,D22="",D22=0),"",3*G22*C22/D22*Feuil1!$B$2/200+1)</f>
        <v/>
      </c>
      <c r="I22" t="str">
        <f t="shared" si="0"/>
        <v/>
      </c>
      <c r="J22" s="20" t="str">
        <f>IF(Value!J22="","",IF(Value!J22=0,"",(Value!J22*100/Feuil1!$C$2-100)/100))</f>
        <v/>
      </c>
      <c r="K22" s="20" t="str">
        <f>IF(Value!K22="","",IF(Value!K22=0,"",(Value!K22*100/Feuil1!$C$2-100)/100))</f>
        <v/>
      </c>
      <c r="L22" s="20" t="str">
        <f>IF(Value!L22="","",IF(Value!L22=0,"",(Value!L22*100/Feuil1!$C$2-100)/100))</f>
        <v/>
      </c>
      <c r="M22" s="20" t="str">
        <f>IF(Value!M22="","",IF(Value!M22=0,"",(Value!M22*100/Feuil1!$C$2-100)/100))</f>
        <v/>
      </c>
      <c r="N22" s="20" t="str">
        <f>IF(Value!N22="","",IF(Value!N22=0,"",(Value!N22*100/Feuil1!$C$2-100)/100))</f>
        <v/>
      </c>
      <c r="O22" s="20" t="str">
        <f>IF(Value!O22="","",IF(Value!O22=0,"",(Value!O22*100/Feuil1!$C$2-100)/100))</f>
        <v/>
      </c>
      <c r="P22" s="20" t="str">
        <f>IF(Value!P22="","",IF(Value!P22=0,"",(Value!P22*100/Feuil1!$C$2-100)/100))</f>
        <v/>
      </c>
      <c r="Q22" s="20" t="str">
        <f>IF(Value!Q22="","",IF(Value!Q22=0,"",(Value!Q22*100/Feuil1!$C$2-100)/100))</f>
        <v/>
      </c>
      <c r="R22" s="20" t="str">
        <f>IF(Value!R22="","",IF(Value!R22=0,"",(Value!R22*100/Feuil1!$C$2-100)/100))</f>
        <v/>
      </c>
    </row>
    <row r="23" spans="1:18">
      <c r="A23" s="12" t="s">
        <v>55</v>
      </c>
      <c r="B23" s="12" t="s">
        <v>54</v>
      </c>
      <c r="C23" s="12">
        <v>5</v>
      </c>
      <c r="D23" s="12">
        <v>1</v>
      </c>
      <c r="E23" s="14">
        <f>Feuil1!J23</f>
        <v>244</v>
      </c>
      <c r="F23" s="8">
        <f>E23/C23</f>
        <v>48.8</v>
      </c>
      <c r="G23" s="12">
        <f>Feuil1!L23</f>
        <v>0</v>
      </c>
      <c r="H23" t="str">
        <f>IF(OR(G23="",G23=0,C23="",C23=0,D23="",D23=0),"",3*G23*C23/D23*Feuil1!$B$2/200+1)</f>
        <v/>
      </c>
      <c r="I23" t="str">
        <f t="shared" si="0"/>
        <v/>
      </c>
      <c r="J23" s="20" t="str">
        <f>IF(Value!J23="","",IF(Value!J23=0,"",(Value!J23*100/Feuil1!$C$2-100)/100))</f>
        <v/>
      </c>
      <c r="K23" s="20" t="str">
        <f>IF(Value!K23="","",IF(Value!K23=0,"",(Value!K23*100/Feuil1!$C$2-100)/100))</f>
        <v/>
      </c>
      <c r="L23" s="20" t="str">
        <f>IF(Value!L23="","",IF(Value!L23=0,"",(Value!L23*100/Feuil1!$C$2-100)/100))</f>
        <v/>
      </c>
      <c r="M23" s="20" t="str">
        <f>IF(Value!M23="","",IF(Value!M23=0,"",(Value!M23*100/Feuil1!$C$2-100)/100))</f>
        <v/>
      </c>
      <c r="N23" s="20" t="str">
        <f>IF(Value!N23="","",IF(Value!N23=0,"",(Value!N23*100/Feuil1!$C$2-100)/100))</f>
        <v/>
      </c>
      <c r="O23" s="20" t="str">
        <f>IF(Value!O23="","",IF(Value!O23=0,"",(Value!O23*100/Feuil1!$C$2-100)/100))</f>
        <v/>
      </c>
      <c r="P23" s="20" t="str">
        <f>IF(Value!P23="","",IF(Value!P23=0,"",(Value!P23*100/Feuil1!$C$2-100)/100))</f>
        <v/>
      </c>
      <c r="Q23" s="20" t="str">
        <f>IF(Value!Q23="","",IF(Value!Q23=0,"",(Value!Q23*100/Feuil1!$C$2-100)/100))</f>
        <v/>
      </c>
      <c r="R23" s="20" t="str">
        <f>IF(Value!R23="","",IF(Value!R23=0,"",(Value!R23*100/Feuil1!$C$2-100)/100))</f>
        <v/>
      </c>
    </row>
    <row r="24" spans="1:18">
      <c r="A24" s="12" t="s">
        <v>56</v>
      </c>
      <c r="B24" s="12" t="s">
        <v>57</v>
      </c>
      <c r="C24" s="12">
        <v>5</v>
      </c>
      <c r="D24" s="12">
        <v>1</v>
      </c>
      <c r="E24" s="14">
        <f>Feuil1!J24</f>
        <v>1188</v>
      </c>
      <c r="F24" s="8">
        <f>E24/C24</f>
        <v>237.6</v>
      </c>
      <c r="G24" s="12">
        <f>Feuil1!L24</f>
        <v>0</v>
      </c>
      <c r="H24" t="str">
        <f>IF(OR(G24="",G24=0,C24="",C24=0,D24="",D24=0),"",3*G24*C24/D24*Feuil1!$B$2/200+1)</f>
        <v/>
      </c>
      <c r="I24" t="str">
        <f t="shared" si="0"/>
        <v/>
      </c>
      <c r="J24" s="20" t="str">
        <f>IF(Value!J24="","",IF(Value!J24=0,"",(Value!J24*100/Feuil1!$C$2-100)/100))</f>
        <v/>
      </c>
      <c r="K24" s="20" t="str">
        <f>IF(Value!K24="","",IF(Value!K24=0,"",(Value!K24*100/Feuil1!$C$2-100)/100))</f>
        <v/>
      </c>
      <c r="L24" s="20" t="str">
        <f>IF(Value!L24="","",IF(Value!L24=0,"",(Value!L24*100/Feuil1!$C$2-100)/100))</f>
        <v/>
      </c>
      <c r="M24" s="20" t="str">
        <f>IF(Value!M24="","",IF(Value!M24=0,"",(Value!M24*100/Feuil1!$C$2-100)/100))</f>
        <v/>
      </c>
      <c r="N24" s="20" t="str">
        <f>IF(Value!N24="","",IF(Value!N24=0,"",(Value!N24*100/Feuil1!$C$2-100)/100))</f>
        <v/>
      </c>
      <c r="O24" s="20" t="str">
        <f>IF(Value!O24="","",IF(Value!O24=0,"",(Value!O24*100/Feuil1!$C$2-100)/100))</f>
        <v/>
      </c>
      <c r="P24" s="20" t="str">
        <f>IF(Value!P24="","",IF(Value!P24=0,"",(Value!P24*100/Feuil1!$C$2-100)/100))</f>
        <v/>
      </c>
      <c r="Q24" s="20" t="str">
        <f>IF(Value!Q24="","",IF(Value!Q24=0,"",(Value!Q24*100/Feuil1!$C$2-100)/100))</f>
        <v/>
      </c>
      <c r="R24" s="20" t="str">
        <f>IF(Value!R24="","",IF(Value!R24=0,"",(Value!R24*100/Feuil1!$C$2-100)/100))</f>
        <v/>
      </c>
    </row>
    <row r="25" spans="1:18">
      <c r="A25" s="12" t="s">
        <v>58</v>
      </c>
      <c r="B25" s="12" t="s">
        <v>59</v>
      </c>
      <c r="C25" s="12">
        <v>5</v>
      </c>
      <c r="D25" s="12">
        <v>1</v>
      </c>
      <c r="E25" s="14">
        <f>Feuil1!J25</f>
        <v>736</v>
      </c>
      <c r="F25" s="8">
        <f>E25/C25</f>
        <v>147.19999999999999</v>
      </c>
      <c r="G25" s="12">
        <f>Feuil1!L25</f>
        <v>0</v>
      </c>
      <c r="H25" t="str">
        <f>IF(OR(G25="",G25=0,C25="",C25=0,D25="",D25=0),"",3*G25*C25/D25*Feuil1!$B$2/200+1)</f>
        <v/>
      </c>
      <c r="I25" t="str">
        <f t="shared" si="0"/>
        <v/>
      </c>
      <c r="J25" s="20" t="str">
        <f>IF(Value!J25="","",IF(Value!J25=0,"",(Value!J25*100/Feuil1!$C$2-100)/100))</f>
        <v/>
      </c>
      <c r="K25" s="20" t="str">
        <f>IF(Value!K25="","",IF(Value!K25=0,"",(Value!K25*100/Feuil1!$C$2-100)/100))</f>
        <v/>
      </c>
      <c r="L25" s="20" t="str">
        <f>IF(Value!L25="","",IF(Value!L25=0,"",(Value!L25*100/Feuil1!$C$2-100)/100))</f>
        <v/>
      </c>
      <c r="M25" s="20" t="str">
        <f>IF(Value!M25="","",IF(Value!M25=0,"",(Value!M25*100/Feuil1!$C$2-100)/100))</f>
        <v/>
      </c>
      <c r="N25" s="20" t="str">
        <f>IF(Value!N25="","",IF(Value!N25=0,"",(Value!N25*100/Feuil1!$C$2-100)/100))</f>
        <v/>
      </c>
      <c r="O25" s="20" t="str">
        <f>IF(Value!O25="","",IF(Value!O25=0,"",(Value!O25*100/Feuil1!$C$2-100)/100))</f>
        <v/>
      </c>
      <c r="P25" s="20" t="str">
        <f>IF(Value!P25="","",IF(Value!P25=0,"",(Value!P25*100/Feuil1!$C$2-100)/100))</f>
        <v/>
      </c>
      <c r="Q25" s="20" t="str">
        <f>IF(Value!Q25="","",IF(Value!Q25=0,"",(Value!Q25*100/Feuil1!$C$2-100)/100))</f>
        <v/>
      </c>
      <c r="R25" s="20" t="str">
        <f>IF(Value!R25="","",IF(Value!R25=0,"",(Value!R25*100/Feuil1!$C$2-100)/100))</f>
        <v/>
      </c>
    </row>
    <row r="26" spans="1:18">
      <c r="A26" s="12" t="s">
        <v>60</v>
      </c>
      <c r="B26" s="12" t="s">
        <v>61</v>
      </c>
      <c r="C26" s="12">
        <v>7</v>
      </c>
      <c r="D26" s="12">
        <v>1</v>
      </c>
      <c r="E26" s="14">
        <f>Feuil1!J26</f>
        <v>580</v>
      </c>
      <c r="F26" s="8">
        <f>E26/C26</f>
        <v>82.857142857142861</v>
      </c>
      <c r="G26" s="12">
        <f>Feuil1!L26</f>
        <v>0</v>
      </c>
      <c r="H26" t="str">
        <f>IF(OR(G26="",G26=0,C26="",C26=0,D26="",D26=0),"",3*G26*C26/D26*Feuil1!$B$2/200+1)</f>
        <v/>
      </c>
      <c r="I26" t="str">
        <f t="shared" si="0"/>
        <v/>
      </c>
      <c r="J26" s="20" t="str">
        <f>IF(Value!J26="","",IF(Value!J26=0,"",(Value!J26*100/Feuil1!$C$2-100)/100))</f>
        <v/>
      </c>
      <c r="K26" s="20" t="str">
        <f>IF(Value!K26="","",IF(Value!K26=0,"",(Value!K26*100/Feuil1!$C$2-100)/100))</f>
        <v/>
      </c>
      <c r="L26" s="20" t="str">
        <f>IF(Value!L26="","",IF(Value!L26=0,"",(Value!L26*100/Feuil1!$C$2-100)/100))</f>
        <v/>
      </c>
      <c r="M26" s="20" t="str">
        <f>IF(Value!M26="","",IF(Value!M26=0,"",(Value!M26*100/Feuil1!$C$2-100)/100))</f>
        <v/>
      </c>
      <c r="N26" s="20" t="str">
        <f>IF(Value!N26="","",IF(Value!N26=0,"",(Value!N26*100/Feuil1!$C$2-100)/100))</f>
        <v/>
      </c>
      <c r="O26" s="20" t="str">
        <f>IF(Value!O26="","",IF(Value!O26=0,"",(Value!O26*100/Feuil1!$C$2-100)/100))</f>
        <v/>
      </c>
      <c r="P26" s="20" t="str">
        <f>IF(Value!P26="","",IF(Value!P26=0,"",(Value!P26*100/Feuil1!$C$2-100)/100))</f>
        <v/>
      </c>
      <c r="Q26" s="20" t="str">
        <f>IF(Value!Q26="","",IF(Value!Q26=0,"",(Value!Q26*100/Feuil1!$C$2-100)/100))</f>
        <v/>
      </c>
      <c r="R26" s="20" t="str">
        <f>IF(Value!R26="","",IF(Value!R26=0,"",(Value!R26*100/Feuil1!$C$2-100)/100))</f>
        <v/>
      </c>
    </row>
    <row r="27" spans="1:18">
      <c r="A27" s="12" t="s">
        <v>62</v>
      </c>
      <c r="B27" s="12" t="s">
        <v>63</v>
      </c>
      <c r="C27" s="12">
        <v>7</v>
      </c>
      <c r="D27" s="12">
        <v>1</v>
      </c>
      <c r="E27" s="14">
        <f>Feuil1!J27</f>
        <v>330</v>
      </c>
      <c r="F27" s="8">
        <f>E27/C27</f>
        <v>47.142857142857146</v>
      </c>
      <c r="G27" s="12">
        <f>Feuil1!L27</f>
        <v>0</v>
      </c>
      <c r="H27" t="str">
        <f>IF(OR(G27="",G27=0,C27="",C27=0,D27="",D27=0),"",3*G27*C27/D27*Feuil1!$B$2/200+1)</f>
        <v/>
      </c>
      <c r="I27" t="str">
        <f t="shared" si="0"/>
        <v/>
      </c>
      <c r="J27" s="20" t="str">
        <f>IF(Value!J27="","",IF(Value!J27=0,"",(Value!J27*100/Feuil1!$C$2-100)/100))</f>
        <v/>
      </c>
      <c r="K27" s="20" t="str">
        <f>IF(Value!K27="","",IF(Value!K27=0,"",(Value!K27*100/Feuil1!$C$2-100)/100))</f>
        <v/>
      </c>
      <c r="L27" s="20" t="str">
        <f>IF(Value!L27="","",IF(Value!L27=0,"",(Value!L27*100/Feuil1!$C$2-100)/100))</f>
        <v/>
      </c>
      <c r="M27" s="20" t="str">
        <f>IF(Value!M27="","",IF(Value!M27=0,"",(Value!M27*100/Feuil1!$C$2-100)/100))</f>
        <v/>
      </c>
      <c r="N27" s="20" t="str">
        <f>IF(Value!N27="","",IF(Value!N27=0,"",(Value!N27*100/Feuil1!$C$2-100)/100))</f>
        <v/>
      </c>
      <c r="O27" s="20" t="str">
        <f>IF(Value!O27="","",IF(Value!O27=0,"",(Value!O27*100/Feuil1!$C$2-100)/100))</f>
        <v/>
      </c>
      <c r="P27" s="20" t="str">
        <f>IF(Value!P27="","",IF(Value!P27=0,"",(Value!P27*100/Feuil1!$C$2-100)/100))</f>
        <v/>
      </c>
      <c r="Q27" s="20" t="str">
        <f>IF(Value!Q27="","",IF(Value!Q27=0,"",(Value!Q27*100/Feuil1!$C$2-100)/100))</f>
        <v/>
      </c>
      <c r="R27" s="20" t="str">
        <f>IF(Value!R27="","",IF(Value!R27=0,"",(Value!R27*100/Feuil1!$C$2-100)/100))</f>
        <v/>
      </c>
    </row>
    <row r="28" spans="1:18">
      <c r="A28" s="12" t="s">
        <v>64</v>
      </c>
      <c r="B28" s="12" t="s">
        <v>65</v>
      </c>
      <c r="C28" s="12">
        <v>1</v>
      </c>
      <c r="D28" s="12">
        <v>1</v>
      </c>
      <c r="E28" s="14">
        <f>Feuil1!J28</f>
        <v>70</v>
      </c>
      <c r="F28" s="8">
        <f>E28/C28</f>
        <v>70</v>
      </c>
      <c r="G28" s="12">
        <f>Feuil1!L28</f>
        <v>0</v>
      </c>
      <c r="H28" t="str">
        <f>IF(OR(G28="",G28=0,C28="",C28=0,D28="",D28=0),"",3*G28*C28/D28*Feuil1!$B$2/200+1)</f>
        <v/>
      </c>
      <c r="I28" t="str">
        <f t="shared" si="0"/>
        <v/>
      </c>
      <c r="J28" s="20" t="str">
        <f>IF(Value!J28="","",IF(Value!J28=0,"",(Value!J28*100/Feuil1!$C$2-100)/100))</f>
        <v/>
      </c>
      <c r="K28" s="20" t="str">
        <f>IF(Value!K28="","",IF(Value!K28=0,"",(Value!K28*100/Feuil1!$C$2-100)/100))</f>
        <v/>
      </c>
      <c r="L28" s="20" t="str">
        <f>IF(Value!L28="","",IF(Value!L28=0,"",(Value!L28*100/Feuil1!$C$2-100)/100))</f>
        <v/>
      </c>
      <c r="M28" s="20" t="str">
        <f>IF(Value!M28="","",IF(Value!M28=0,"",(Value!M28*100/Feuil1!$C$2-100)/100))</f>
        <v/>
      </c>
      <c r="N28" s="20" t="str">
        <f>IF(Value!N28="","",IF(Value!N28=0,"",(Value!N28*100/Feuil1!$C$2-100)/100))</f>
        <v/>
      </c>
      <c r="O28" s="20" t="str">
        <f>IF(Value!O28="","",IF(Value!O28=0,"",(Value!O28*100/Feuil1!$C$2-100)/100))</f>
        <v/>
      </c>
      <c r="P28" s="20" t="str">
        <f>IF(Value!P28="","",IF(Value!P28=0,"",(Value!P28*100/Feuil1!$C$2-100)/100))</f>
        <v/>
      </c>
      <c r="Q28" s="20" t="str">
        <f>IF(Value!Q28="","",IF(Value!Q28=0,"",(Value!Q28*100/Feuil1!$C$2-100)/100))</f>
        <v/>
      </c>
      <c r="R28" s="20" t="str">
        <f>IF(Value!R28="","",IF(Value!R28=0,"",(Value!R28*100/Feuil1!$C$2-100)/100))</f>
        <v/>
      </c>
    </row>
    <row r="29" spans="1:18">
      <c r="A29" s="12" t="s">
        <v>66</v>
      </c>
      <c r="B29" s="12" t="s">
        <v>67</v>
      </c>
      <c r="C29" s="12">
        <v>4</v>
      </c>
      <c r="D29" s="12">
        <v>1</v>
      </c>
      <c r="E29" s="14">
        <f>Feuil1!J29</f>
        <v>391</v>
      </c>
      <c r="F29" s="8">
        <f>E29/C29</f>
        <v>97.75</v>
      </c>
      <c r="G29" s="12">
        <f>Feuil1!L29</f>
        <v>0</v>
      </c>
      <c r="H29" t="str">
        <f>IF(OR(G29="",G29=0,C29="",C29=0,D29="",D29=0),"",3*G29*C29/D29*Feuil1!$B$2/200+1)</f>
        <v/>
      </c>
      <c r="I29" t="str">
        <f t="shared" si="0"/>
        <v/>
      </c>
      <c r="J29" s="20" t="str">
        <f>IF(Value!J29="","",IF(Value!J29=0,"",(Value!J29*100/Feuil1!$C$2-100)/100))</f>
        <v/>
      </c>
      <c r="K29" s="20" t="str">
        <f>IF(Value!K29="","",IF(Value!K29=0,"",(Value!K29*100/Feuil1!$C$2-100)/100))</f>
        <v/>
      </c>
      <c r="L29" s="20" t="str">
        <f>IF(Value!L29="","",IF(Value!L29=0,"",(Value!L29*100/Feuil1!$C$2-100)/100))</f>
        <v/>
      </c>
      <c r="M29" s="20" t="str">
        <f>IF(Value!M29="","",IF(Value!M29=0,"",(Value!M29*100/Feuil1!$C$2-100)/100))</f>
        <v/>
      </c>
      <c r="N29" s="20" t="str">
        <f>IF(Value!N29="","",IF(Value!N29=0,"",(Value!N29*100/Feuil1!$C$2-100)/100))</f>
        <v/>
      </c>
      <c r="O29" s="20" t="str">
        <f>IF(Value!O29="","",IF(Value!O29=0,"",(Value!O29*100/Feuil1!$C$2-100)/100))</f>
        <v/>
      </c>
      <c r="P29" s="20" t="str">
        <f>IF(Value!P29="","",IF(Value!P29=0,"",(Value!P29*100/Feuil1!$C$2-100)/100))</f>
        <v/>
      </c>
      <c r="Q29" s="20" t="str">
        <f>IF(Value!Q29="","",IF(Value!Q29=0,"",(Value!Q29*100/Feuil1!$C$2-100)/100))</f>
        <v/>
      </c>
      <c r="R29" s="20" t="str">
        <f>IF(Value!R29="","",IF(Value!R29=0,"",(Value!R29*100/Feuil1!$C$2-100)/100))</f>
        <v/>
      </c>
    </row>
    <row r="30" spans="1:18">
      <c r="A30" s="12" t="s">
        <v>68</v>
      </c>
      <c r="B30" s="12" t="s">
        <v>69</v>
      </c>
      <c r="C30" s="12">
        <v>1</v>
      </c>
      <c r="D30" s="12">
        <v>10</v>
      </c>
      <c r="E30" s="14">
        <f>Feuil1!J30</f>
        <v>75</v>
      </c>
      <c r="F30" s="8">
        <f>E30/C30</f>
        <v>75</v>
      </c>
      <c r="G30" s="12">
        <f>Feuil1!L30</f>
        <v>0</v>
      </c>
      <c r="H30" t="str">
        <f>IF(OR(G30="",G30=0,C30="",C30=0,D30="",D30=0),"",3*G30*C30/D30*Feuil1!$B$2/200+1)</f>
        <v/>
      </c>
      <c r="I30" t="str">
        <f t="shared" si="0"/>
        <v/>
      </c>
      <c r="J30" s="20" t="str">
        <f>IF(Value!J30="","",IF(Value!J30=0,"",(Value!J30*100/Feuil1!$C$2-100)/100))</f>
        <v/>
      </c>
      <c r="K30" s="20" t="str">
        <f>IF(Value!K30="","",IF(Value!K30=0,"",(Value!K30*100/Feuil1!$C$2-100)/100))</f>
        <v/>
      </c>
      <c r="L30" s="20" t="str">
        <f>IF(Value!L30="","",IF(Value!L30=0,"",(Value!L30*100/Feuil1!$C$2-100)/100))</f>
        <v/>
      </c>
      <c r="M30" s="20" t="str">
        <f>IF(Value!M30="","",IF(Value!M30=0,"",(Value!M30*100/Feuil1!$C$2-100)/100))</f>
        <v/>
      </c>
      <c r="N30" s="20" t="str">
        <f>IF(Value!N30="","",IF(Value!N30=0,"",(Value!N30*100/Feuil1!$C$2-100)/100))</f>
        <v/>
      </c>
      <c r="O30" s="20" t="str">
        <f>IF(Value!O30="","",IF(Value!O30=0,"",(Value!O30*100/Feuil1!$C$2-100)/100))</f>
        <v/>
      </c>
      <c r="P30" s="20" t="str">
        <f>IF(Value!P30="","",IF(Value!P30=0,"",(Value!P30*100/Feuil1!$C$2-100)/100))</f>
        <v/>
      </c>
      <c r="Q30" s="20" t="str">
        <f>IF(Value!Q30="","",IF(Value!Q30=0,"",(Value!Q30*100/Feuil1!$C$2-100)/100))</f>
        <v/>
      </c>
      <c r="R30" s="20" t="str">
        <f>IF(Value!R30="","",IF(Value!R30=0,"",(Value!R30*100/Feuil1!$C$2-100)/100))</f>
        <v/>
      </c>
    </row>
    <row r="31" spans="1:18">
      <c r="A31" s="12" t="s">
        <v>70</v>
      </c>
      <c r="B31" s="12" t="s">
        <v>71</v>
      </c>
      <c r="C31" s="12">
        <v>1</v>
      </c>
      <c r="D31" s="12">
        <v>1</v>
      </c>
      <c r="E31" s="14">
        <f>Feuil1!J31</f>
        <v>57</v>
      </c>
      <c r="F31" s="8">
        <f>E31/C31</f>
        <v>57</v>
      </c>
      <c r="G31" s="12">
        <f>Feuil1!L31</f>
        <v>30</v>
      </c>
      <c r="H31">
        <f>IF(OR(G31="",G31=0,C31="",C31=0,D31="",D31=0),"",3*G31*C31/D31*Feuil1!$B$2/200+1)</f>
        <v>36.549999999999997</v>
      </c>
      <c r="I31">
        <f t="shared" si="0"/>
        <v>168.4</v>
      </c>
      <c r="J31" s="20">
        <f>IF(Value!J31="","",IF(Value!J31=0,"",(Value!J31*100/Feuil1!$C$2-100)/100))</f>
        <v>-0.12738181818181801</v>
      </c>
      <c r="K31" s="20">
        <f>IF(Value!K31="","",IF(Value!K31=0,"",(Value!K31*100/Feuil1!$C$2-100)/100))</f>
        <v>-0.87783345454545458</v>
      </c>
      <c r="L31" s="20">
        <f>IF(Value!L31="","",IF(Value!L31=0,"",(Value!L31*100/Feuil1!$C$2-100)/100))</f>
        <v>-0.87787842200127275</v>
      </c>
      <c r="M31" s="20">
        <f>IF(Value!M31="","",IF(Value!M31=0,"",(Value!M31*100/Feuil1!$C$2-100)/100))</f>
        <v>-0.87792335636489838</v>
      </c>
      <c r="N31" s="20">
        <f>IF(Value!N31="","",IF(Value!N31=0,"",(Value!N31*100/Feuil1!$C$2-100)/100))</f>
        <v>-0.87796825767284825</v>
      </c>
      <c r="O31" s="20">
        <f>IF(Value!O31="","",IF(Value!O31=0,"",(Value!O31*100/Feuil1!$C$2-100)/100))</f>
        <v>-0.87828164432572686</v>
      </c>
      <c r="P31" s="20">
        <f>IF(Value!P31="","",IF(Value!P31=0,"",(Value!P31*100/Feuil1!$C$2-100)/100))</f>
        <v>-0.8821720951039721</v>
      </c>
      <c r="Q31" s="20">
        <f>IF(Value!Q31="","",IF(Value!Q31=0,"",(Value!Q31*100/Feuil1!$C$2-100)/100))</f>
        <v>-0.910711066524307</v>
      </c>
      <c r="R31" s="20">
        <f>IF(Value!R31="","",IF(Value!R31=0,"",(Value!R31*100/Feuil1!$C$2-100)/100))</f>
        <v>-0.8821720951039721</v>
      </c>
    </row>
    <row r="32" spans="1:18">
      <c r="A32" s="12" t="s">
        <v>72</v>
      </c>
      <c r="B32" s="12" t="s">
        <v>73</v>
      </c>
      <c r="C32" s="12">
        <v>30</v>
      </c>
      <c r="D32" s="12">
        <v>1</v>
      </c>
      <c r="E32" s="14">
        <f>Feuil1!J32</f>
        <v>5297</v>
      </c>
      <c r="F32" s="8">
        <f>E32/C32</f>
        <v>176.56666666666666</v>
      </c>
      <c r="G32" s="12">
        <f>Feuil1!L32</f>
        <v>0</v>
      </c>
      <c r="H32" t="str">
        <f>IF(OR(G32="",G32=0,C32="",C32=0,D32="",D32=0),"",3*G32*C32/D32*Feuil1!$B$2/200+1)</f>
        <v/>
      </c>
      <c r="I32" t="str">
        <f t="shared" si="0"/>
        <v/>
      </c>
      <c r="J32" s="20" t="str">
        <f>IF(Value!J32="","",IF(Value!J32=0,"",(Value!J32*100/Feuil1!$C$2-100)/100))</f>
        <v/>
      </c>
      <c r="K32" s="20" t="str">
        <f>IF(Value!K32="","",IF(Value!K32=0,"",(Value!K32*100/Feuil1!$C$2-100)/100))</f>
        <v/>
      </c>
      <c r="L32" s="20" t="str">
        <f>IF(Value!L32="","",IF(Value!L32=0,"",(Value!L32*100/Feuil1!$C$2-100)/100))</f>
        <v/>
      </c>
      <c r="M32" s="20" t="str">
        <f>IF(Value!M32="","",IF(Value!M32=0,"",(Value!M32*100/Feuil1!$C$2-100)/100))</f>
        <v/>
      </c>
      <c r="N32" s="20" t="str">
        <f>IF(Value!N32="","",IF(Value!N32=0,"",(Value!N32*100/Feuil1!$C$2-100)/100))</f>
        <v/>
      </c>
      <c r="O32" s="20" t="str">
        <f>IF(Value!O32="","",IF(Value!O32=0,"",(Value!O32*100/Feuil1!$C$2-100)/100))</f>
        <v/>
      </c>
      <c r="P32" s="20" t="str">
        <f>IF(Value!P32="","",IF(Value!P32=0,"",(Value!P32*100/Feuil1!$C$2-100)/100))</f>
        <v/>
      </c>
      <c r="Q32" s="20" t="str">
        <f>IF(Value!Q32="","",IF(Value!Q32=0,"",(Value!Q32*100/Feuil1!$C$2-100)/100))</f>
        <v/>
      </c>
      <c r="R32" s="20" t="str">
        <f>IF(Value!R32="","",IF(Value!R32=0,"",(Value!R32*100/Feuil1!$C$2-100)/100))</f>
        <v/>
      </c>
    </row>
    <row r="33" spans="1:18">
      <c r="A33" s="12" t="s">
        <v>74</v>
      </c>
      <c r="B33" s="12" t="s">
        <v>75</v>
      </c>
      <c r="C33" s="12">
        <v>100</v>
      </c>
      <c r="D33" s="12">
        <v>1</v>
      </c>
      <c r="E33" s="14">
        <f>Feuil1!J33</f>
        <v>24815</v>
      </c>
      <c r="F33" s="8">
        <f>E33/C33</f>
        <v>248.15</v>
      </c>
      <c r="G33" s="12">
        <f>Feuil1!L33</f>
        <v>1</v>
      </c>
      <c r="H33">
        <f>IF(OR(G33="",G33=0,C33="",C33=0,D33="",D33=0),"",3*G33*C33/D33*Feuil1!$B$2/200+1)</f>
        <v>119.5</v>
      </c>
      <c r="I33">
        <f t="shared" si="0"/>
        <v>209.875</v>
      </c>
      <c r="J33" s="20">
        <f>IF(Value!J33="","",IF(Value!J33=0,"",(Value!J33*100/Feuil1!$C$2-100)/100))</f>
        <v>3.734589204545455</v>
      </c>
      <c r="K33" s="20">
        <f>IF(Value!K33="","",IF(Value!K33=0,"",(Value!K33*100/Feuil1!$C$2-100)/100))</f>
        <v>-0.33715751136363636</v>
      </c>
      <c r="L33" s="20">
        <f>IF(Value!L33="","",IF(Value!L33=0,"",(Value!L33*100/Feuil1!$C$2-100)/100))</f>
        <v>-0.33740149256332758</v>
      </c>
      <c r="M33" s="20">
        <f>IF(Value!M33="","",IF(Value!M33=0,"",(Value!M33*100/Feuil1!$C$2-100)/100))</f>
        <v>-0.33764529421377232</v>
      </c>
      <c r="N33" s="20">
        <f>IF(Value!N33="","",IF(Value!N33=0,"",(Value!N33*100/Feuil1!$C$2-100)/100))</f>
        <v>-0.33788891651309994</v>
      </c>
      <c r="O33" s="20">
        <f>IF(Value!O33="","",IF(Value!O33=0,"",(Value!O33*100/Feuil1!$C$2-100)/100))</f>
        <v>-0.33958926735896028</v>
      </c>
      <c r="P33" s="20">
        <f>IF(Value!P33="","",IF(Value!P33=0,"",(Value!P33*100/Feuil1!$C$2-100)/100))</f>
        <v>-0.36069779642618249</v>
      </c>
      <c r="Q33" s="20">
        <f>IF(Value!Q33="","",IF(Value!Q33=0,"",(Value!Q33*100/Feuil1!$C$2-100)/100))</f>
        <v>-0.51554250263435797</v>
      </c>
      <c r="R33" s="20">
        <f>IF(Value!R33="","",IF(Value!R33=0,"",(Value!R33*100/Feuil1!$C$2-100)/100))</f>
        <v>-0.36069779642618249</v>
      </c>
    </row>
    <row r="34" spans="1:18">
      <c r="A34" s="12" t="s">
        <v>76</v>
      </c>
      <c r="B34" s="12" t="s">
        <v>77</v>
      </c>
      <c r="C34" s="12">
        <v>90</v>
      </c>
      <c r="D34" s="12">
        <v>1</v>
      </c>
      <c r="E34" s="14">
        <f>Feuil1!J34</f>
        <v>22929</v>
      </c>
      <c r="F34" s="8">
        <f>E34/C34</f>
        <v>254.76666666666668</v>
      </c>
      <c r="G34" s="12">
        <f>Feuil1!L34</f>
        <v>0</v>
      </c>
      <c r="H34" t="str">
        <f>IF(OR(G34="",G34=0,C34="",C34=0,D34="",D34=0),"",3*G34*C34/D34*Feuil1!$B$2/200+1)</f>
        <v/>
      </c>
      <c r="I34" t="str">
        <f t="shared" si="0"/>
        <v/>
      </c>
      <c r="J34" s="20" t="str">
        <f>IF(Value!J34="","",IF(Value!J34=0,"",(Value!J34*100/Feuil1!$C$2-100)/100))</f>
        <v/>
      </c>
      <c r="K34" s="20" t="str">
        <f>IF(Value!K34="","",IF(Value!K34=0,"",(Value!K34*100/Feuil1!$C$2-100)/100))</f>
        <v/>
      </c>
      <c r="L34" s="20" t="str">
        <f>IF(Value!L34="","",IF(Value!L34=0,"",(Value!L34*100/Feuil1!$C$2-100)/100))</f>
        <v/>
      </c>
      <c r="M34" s="20" t="str">
        <f>IF(Value!M34="","",IF(Value!M34=0,"",(Value!M34*100/Feuil1!$C$2-100)/100))</f>
        <v/>
      </c>
      <c r="N34" s="20" t="str">
        <f>IF(Value!N34="","",IF(Value!N34=0,"",(Value!N34*100/Feuil1!$C$2-100)/100))</f>
        <v/>
      </c>
      <c r="O34" s="20" t="str">
        <f>IF(Value!O34="","",IF(Value!O34=0,"",(Value!O34*100/Feuil1!$C$2-100)/100))</f>
        <v/>
      </c>
      <c r="P34" s="20" t="str">
        <f>IF(Value!P34="","",IF(Value!P34=0,"",(Value!P34*100/Feuil1!$C$2-100)/100))</f>
        <v/>
      </c>
      <c r="Q34" s="20" t="str">
        <f>IF(Value!Q34="","",IF(Value!Q34=0,"",(Value!Q34*100/Feuil1!$C$2-100)/100))</f>
        <v/>
      </c>
      <c r="R34" s="20" t="str">
        <f>IF(Value!R34="","",IF(Value!R34=0,"",(Value!R34*100/Feuil1!$C$2-100)/100))</f>
        <v/>
      </c>
    </row>
    <row r="35" spans="1:18">
      <c r="A35" s="12" t="s">
        <v>78</v>
      </c>
      <c r="B35" s="12" t="s">
        <v>79</v>
      </c>
      <c r="C35" s="12">
        <v>51</v>
      </c>
      <c r="D35" s="12">
        <v>1</v>
      </c>
      <c r="E35" s="14">
        <f>Feuil1!J35</f>
        <v>9260</v>
      </c>
      <c r="F35" s="8">
        <f>E35/C35</f>
        <v>181.56862745098039</v>
      </c>
      <c r="G35" s="12">
        <f>Feuil1!L35</f>
        <v>0</v>
      </c>
      <c r="H35" t="str">
        <f>IF(OR(G35="",G35=0,C35="",C35=0,D35="",D35=0),"",3*G35*C35/D35*Feuil1!$B$2/200+1)</f>
        <v/>
      </c>
      <c r="I35" t="str">
        <f t="shared" si="0"/>
        <v/>
      </c>
      <c r="J35" s="20" t="str">
        <f>IF(Value!J35="","",IF(Value!J35=0,"",(Value!J35*100/Feuil1!$C$2-100)/100))</f>
        <v/>
      </c>
      <c r="K35" s="20" t="str">
        <f>IF(Value!K35="","",IF(Value!K35=0,"",(Value!K35*100/Feuil1!$C$2-100)/100))</f>
        <v/>
      </c>
      <c r="L35" s="20" t="str">
        <f>IF(Value!L35="","",IF(Value!L35=0,"",(Value!L35*100/Feuil1!$C$2-100)/100))</f>
        <v/>
      </c>
      <c r="M35" s="20" t="str">
        <f>IF(Value!M35="","",IF(Value!M35=0,"",(Value!M35*100/Feuil1!$C$2-100)/100))</f>
        <v/>
      </c>
      <c r="N35" s="20" t="str">
        <f>IF(Value!N35="","",IF(Value!N35=0,"",(Value!N35*100/Feuil1!$C$2-100)/100))</f>
        <v/>
      </c>
      <c r="O35" s="20" t="str">
        <f>IF(Value!O35="","",IF(Value!O35=0,"",(Value!O35*100/Feuil1!$C$2-100)/100))</f>
        <v/>
      </c>
      <c r="P35" s="20" t="str">
        <f>IF(Value!P35="","",IF(Value!P35=0,"",(Value!P35*100/Feuil1!$C$2-100)/100))</f>
        <v/>
      </c>
      <c r="Q35" s="20" t="str">
        <f>IF(Value!Q35="","",IF(Value!Q35=0,"",(Value!Q35*100/Feuil1!$C$2-100)/100))</f>
        <v/>
      </c>
      <c r="R35" s="20" t="str">
        <f>IF(Value!R35="","",IF(Value!R35=0,"",(Value!R35*100/Feuil1!$C$2-100)/100))</f>
        <v/>
      </c>
    </row>
    <row r="36" spans="1:18">
      <c r="A36" s="12" t="s">
        <v>80</v>
      </c>
      <c r="B36" s="12" t="s">
        <v>81</v>
      </c>
      <c r="C36" s="12">
        <v>2.5</v>
      </c>
      <c r="D36" s="12">
        <v>10</v>
      </c>
      <c r="E36" s="14">
        <f>Feuil1!J36</f>
        <v>152</v>
      </c>
      <c r="F36" s="8">
        <f>E36/C36</f>
        <v>60.8</v>
      </c>
      <c r="G36" s="12">
        <f>Feuil1!L36</f>
        <v>0</v>
      </c>
      <c r="H36" t="str">
        <f>IF(OR(G36="",G36=0,C36="",C36=0,D36="",D36=0),"",3*G36*C36/D36*Feuil1!$B$2/200+1)</f>
        <v/>
      </c>
      <c r="I36" t="str">
        <f t="shared" si="0"/>
        <v/>
      </c>
      <c r="J36" s="20" t="str">
        <f>IF(Value!J36="","",IF(Value!J36=0,"",(Value!J36*100/Feuil1!$C$2-100)/100))</f>
        <v/>
      </c>
      <c r="K36" s="20" t="str">
        <f>IF(Value!K36="","",IF(Value!K36=0,"",(Value!K36*100/Feuil1!$C$2-100)/100))</f>
        <v/>
      </c>
      <c r="L36" s="20" t="str">
        <f>IF(Value!L36="","",IF(Value!L36=0,"",(Value!L36*100/Feuil1!$C$2-100)/100))</f>
        <v/>
      </c>
      <c r="M36" s="20" t="str">
        <f>IF(Value!M36="","",IF(Value!M36=0,"",(Value!M36*100/Feuil1!$C$2-100)/100))</f>
        <v/>
      </c>
      <c r="N36" s="20" t="str">
        <f>IF(Value!N36="","",IF(Value!N36=0,"",(Value!N36*100/Feuil1!$C$2-100)/100))</f>
        <v/>
      </c>
      <c r="O36" s="20" t="str">
        <f>IF(Value!O36="","",IF(Value!O36=0,"",(Value!O36*100/Feuil1!$C$2-100)/100))</f>
        <v/>
      </c>
      <c r="P36" s="20" t="str">
        <f>IF(Value!P36="","",IF(Value!P36=0,"",(Value!P36*100/Feuil1!$C$2-100)/100))</f>
        <v/>
      </c>
      <c r="Q36" s="20" t="str">
        <f>IF(Value!Q36="","",IF(Value!Q36=0,"",(Value!Q36*100/Feuil1!$C$2-100)/100))</f>
        <v/>
      </c>
      <c r="R36" s="20" t="str">
        <f>IF(Value!R36="","",IF(Value!R36=0,"",(Value!R36*100/Feuil1!$C$2-100)/100))</f>
        <v/>
      </c>
    </row>
    <row r="37" spans="1:18">
      <c r="A37" s="12" t="s">
        <v>82</v>
      </c>
      <c r="B37" s="12" t="s">
        <v>83</v>
      </c>
      <c r="C37" s="12">
        <v>3</v>
      </c>
      <c r="D37" s="12">
        <v>1</v>
      </c>
      <c r="E37" s="14">
        <f>Feuil1!J37</f>
        <v>413</v>
      </c>
      <c r="F37" s="8">
        <f>E37/C37</f>
        <v>137.66666666666666</v>
      </c>
      <c r="G37" s="12">
        <f>Feuil1!L37</f>
        <v>0</v>
      </c>
      <c r="H37" t="str">
        <f>IF(OR(G37="",G37=0,C37="",C37=0,D37="",D37=0),"",3*G37*C37/D37*Feuil1!$B$2/200+1)</f>
        <v/>
      </c>
      <c r="I37" t="str">
        <f t="shared" si="0"/>
        <v/>
      </c>
      <c r="J37" s="20" t="str">
        <f>IF(Value!J37="","",IF(Value!J37=0,"",(Value!J37*100/Feuil1!$C$2-100)/100))</f>
        <v/>
      </c>
      <c r="K37" s="20" t="str">
        <f>IF(Value!K37="","",IF(Value!K37=0,"",(Value!K37*100/Feuil1!$C$2-100)/100))</f>
        <v/>
      </c>
      <c r="L37" s="20" t="str">
        <f>IF(Value!L37="","",IF(Value!L37=0,"",(Value!L37*100/Feuil1!$C$2-100)/100))</f>
        <v/>
      </c>
      <c r="M37" s="20" t="str">
        <f>IF(Value!M37="","",IF(Value!M37=0,"",(Value!M37*100/Feuil1!$C$2-100)/100))</f>
        <v/>
      </c>
      <c r="N37" s="20" t="str">
        <f>IF(Value!N37="","",IF(Value!N37=0,"",(Value!N37*100/Feuil1!$C$2-100)/100))</f>
        <v/>
      </c>
      <c r="O37" s="20" t="str">
        <f>IF(Value!O37="","",IF(Value!O37=0,"",(Value!O37*100/Feuil1!$C$2-100)/100))</f>
        <v/>
      </c>
      <c r="P37" s="20" t="str">
        <f>IF(Value!P37="","",IF(Value!P37=0,"",(Value!P37*100/Feuil1!$C$2-100)/100))</f>
        <v/>
      </c>
      <c r="Q37" s="20" t="str">
        <f>IF(Value!Q37="","",IF(Value!Q37=0,"",(Value!Q37*100/Feuil1!$C$2-100)/100))</f>
        <v/>
      </c>
      <c r="R37" s="20" t="str">
        <f>IF(Value!R37="","",IF(Value!R37=0,"",(Value!R37*100/Feuil1!$C$2-100)/100))</f>
        <v/>
      </c>
    </row>
    <row r="38" spans="1:18">
      <c r="A38" s="12" t="s">
        <v>84</v>
      </c>
      <c r="B38" s="12" t="s">
        <v>85</v>
      </c>
      <c r="C38" s="12">
        <v>2</v>
      </c>
      <c r="D38" s="12">
        <v>1</v>
      </c>
      <c r="E38" s="14">
        <f>Feuil1!J38</f>
        <v>241</v>
      </c>
      <c r="F38" s="8">
        <f>E38/C38</f>
        <v>120.5</v>
      </c>
      <c r="G38" s="12">
        <f>Feuil1!L38</f>
        <v>0</v>
      </c>
      <c r="H38" t="str">
        <f>IF(OR(G38="",G38=0,C38="",C38=0,D38="",D38=0),"",3*G38*C38/D38*Feuil1!$B$2/200+1)</f>
        <v/>
      </c>
      <c r="I38" t="str">
        <f t="shared" si="0"/>
        <v/>
      </c>
      <c r="J38" s="20" t="str">
        <f>IF(Value!J38="","",IF(Value!J38=0,"",(Value!J38*100/Feuil1!$C$2-100)/100))</f>
        <v/>
      </c>
      <c r="K38" s="20" t="str">
        <f>IF(Value!K38="","",IF(Value!K38=0,"",(Value!K38*100/Feuil1!$C$2-100)/100))</f>
        <v/>
      </c>
      <c r="L38" s="20" t="str">
        <f>IF(Value!L38="","",IF(Value!L38=0,"",(Value!L38*100/Feuil1!$C$2-100)/100))</f>
        <v/>
      </c>
      <c r="M38" s="20" t="str">
        <f>IF(Value!M38="","",IF(Value!M38=0,"",(Value!M38*100/Feuil1!$C$2-100)/100))</f>
        <v/>
      </c>
      <c r="N38" s="20" t="str">
        <f>IF(Value!N38="","",IF(Value!N38=0,"",(Value!N38*100/Feuil1!$C$2-100)/100))</f>
        <v/>
      </c>
      <c r="O38" s="20" t="str">
        <f>IF(Value!O38="","",IF(Value!O38=0,"",(Value!O38*100/Feuil1!$C$2-100)/100))</f>
        <v/>
      </c>
      <c r="P38" s="20" t="str">
        <f>IF(Value!P38="","",IF(Value!P38=0,"",(Value!P38*100/Feuil1!$C$2-100)/100))</f>
        <v/>
      </c>
      <c r="Q38" s="20" t="str">
        <f>IF(Value!Q38="","",IF(Value!Q38=0,"",(Value!Q38*100/Feuil1!$C$2-100)/100))</f>
        <v/>
      </c>
      <c r="R38" s="20" t="str">
        <f>IF(Value!R38="","",IF(Value!R38=0,"",(Value!R38*100/Feuil1!$C$2-100)/100))</f>
        <v/>
      </c>
    </row>
    <row r="39" spans="1:18">
      <c r="A39" s="12" t="s">
        <v>86</v>
      </c>
      <c r="B39" s="12" t="s">
        <v>87</v>
      </c>
      <c r="C39" s="12">
        <v>2</v>
      </c>
      <c r="D39" s="12">
        <v>1</v>
      </c>
      <c r="E39" s="14">
        <f>Feuil1!J39</f>
        <v>97</v>
      </c>
      <c r="F39" s="8">
        <f>E39/C39</f>
        <v>48.5</v>
      </c>
      <c r="G39" s="12">
        <f>Feuil1!L39</f>
        <v>0</v>
      </c>
      <c r="H39" t="str">
        <f>IF(OR(G39="",G39=0,C39="",C39=0,D39="",D39=0),"",3*G39*C39/D39*Feuil1!$B$2/200+1)</f>
        <v/>
      </c>
      <c r="I39" t="str">
        <f t="shared" si="0"/>
        <v/>
      </c>
      <c r="J39" s="20" t="str">
        <f>IF(Value!J39="","",IF(Value!J39=0,"",(Value!J39*100/Feuil1!$C$2-100)/100))</f>
        <v/>
      </c>
      <c r="K39" s="20" t="str">
        <f>IF(Value!K39="","",IF(Value!K39=0,"",(Value!K39*100/Feuil1!$C$2-100)/100))</f>
        <v/>
      </c>
      <c r="L39" s="20" t="str">
        <f>IF(Value!L39="","",IF(Value!L39=0,"",(Value!L39*100/Feuil1!$C$2-100)/100))</f>
        <v/>
      </c>
      <c r="M39" s="20" t="str">
        <f>IF(Value!M39="","",IF(Value!M39=0,"",(Value!M39*100/Feuil1!$C$2-100)/100))</f>
        <v/>
      </c>
      <c r="N39" s="20" t="str">
        <f>IF(Value!N39="","",IF(Value!N39=0,"",(Value!N39*100/Feuil1!$C$2-100)/100))</f>
        <v/>
      </c>
      <c r="O39" s="20" t="str">
        <f>IF(Value!O39="","",IF(Value!O39=0,"",(Value!O39*100/Feuil1!$C$2-100)/100))</f>
        <v/>
      </c>
      <c r="P39" s="20" t="str">
        <f>IF(Value!P39="","",IF(Value!P39=0,"",(Value!P39*100/Feuil1!$C$2-100)/100))</f>
        <v/>
      </c>
      <c r="Q39" s="20" t="str">
        <f>IF(Value!Q39="","",IF(Value!Q39=0,"",(Value!Q39*100/Feuil1!$C$2-100)/100))</f>
        <v/>
      </c>
      <c r="R39" s="20" t="str">
        <f>IF(Value!R39="","",IF(Value!R39=0,"",(Value!R39*100/Feuil1!$C$2-100)/100))</f>
        <v/>
      </c>
    </row>
    <row r="40" spans="1:18">
      <c r="A40" s="12" t="s">
        <v>88</v>
      </c>
      <c r="B40" s="12" t="s">
        <v>89</v>
      </c>
      <c r="C40" s="12">
        <v>2</v>
      </c>
      <c r="D40" s="12">
        <v>1</v>
      </c>
      <c r="E40" s="14">
        <f>Feuil1!J40</f>
        <v>328</v>
      </c>
      <c r="F40" s="8">
        <f>E40/C40</f>
        <v>164</v>
      </c>
      <c r="G40" s="12">
        <f>Feuil1!L40</f>
        <v>0</v>
      </c>
      <c r="H40" t="str">
        <f>IF(OR(G40="",G40=0,C40="",C40=0,D40="",D40=0),"",3*G40*C40/D40*Feuil1!$B$2/200+1)</f>
        <v/>
      </c>
      <c r="I40" t="str">
        <f t="shared" si="0"/>
        <v/>
      </c>
      <c r="J40" s="20" t="str">
        <f>IF(Value!J40="","",IF(Value!J40=0,"",(Value!J40*100/Feuil1!$C$2-100)/100))</f>
        <v/>
      </c>
      <c r="K40" s="20" t="str">
        <f>IF(Value!K40="","",IF(Value!K40=0,"",(Value!K40*100/Feuil1!$C$2-100)/100))</f>
        <v/>
      </c>
      <c r="L40" s="20" t="str">
        <f>IF(Value!L40="","",IF(Value!L40=0,"",(Value!L40*100/Feuil1!$C$2-100)/100))</f>
        <v/>
      </c>
      <c r="M40" s="20" t="str">
        <f>IF(Value!M40="","",IF(Value!M40=0,"",(Value!M40*100/Feuil1!$C$2-100)/100))</f>
        <v/>
      </c>
      <c r="N40" s="20" t="str">
        <f>IF(Value!N40="","",IF(Value!N40=0,"",(Value!N40*100/Feuil1!$C$2-100)/100))</f>
        <v/>
      </c>
      <c r="O40" s="20" t="str">
        <f>IF(Value!O40="","",IF(Value!O40=0,"",(Value!O40*100/Feuil1!$C$2-100)/100))</f>
        <v/>
      </c>
      <c r="P40" s="20" t="str">
        <f>IF(Value!P40="","",IF(Value!P40=0,"",(Value!P40*100/Feuil1!$C$2-100)/100))</f>
        <v/>
      </c>
      <c r="Q40" s="20" t="str">
        <f>IF(Value!Q40="","",IF(Value!Q40=0,"",(Value!Q40*100/Feuil1!$C$2-100)/100))</f>
        <v/>
      </c>
      <c r="R40" s="20" t="str">
        <f>IF(Value!R40="","",IF(Value!R40=0,"",(Value!R40*100/Feuil1!$C$2-100)/100))</f>
        <v/>
      </c>
    </row>
    <row r="41" spans="1:18">
      <c r="A41" s="12" t="s">
        <v>90</v>
      </c>
      <c r="B41" s="12" t="s">
        <v>91</v>
      </c>
      <c r="C41" s="12">
        <v>2</v>
      </c>
      <c r="D41" s="12">
        <v>1</v>
      </c>
      <c r="E41" s="14">
        <f>Feuil1!J41</f>
        <v>334</v>
      </c>
      <c r="F41" s="8">
        <f>E41/C41</f>
        <v>167</v>
      </c>
      <c r="G41" s="12">
        <f>Feuil1!L41</f>
        <v>0</v>
      </c>
      <c r="H41" t="str">
        <f>IF(OR(G41="",G41=0,C41="",C41=0,D41="",D41=0),"",3*G41*C41/D41*Feuil1!$B$2/200+1)</f>
        <v/>
      </c>
      <c r="I41" t="str">
        <f t="shared" si="0"/>
        <v/>
      </c>
      <c r="J41" s="20" t="str">
        <f>IF(Value!J41="","",IF(Value!J41=0,"",(Value!J41*100/Feuil1!$C$2-100)/100))</f>
        <v/>
      </c>
      <c r="K41" s="20" t="str">
        <f>IF(Value!K41="","",IF(Value!K41=0,"",(Value!K41*100/Feuil1!$C$2-100)/100))</f>
        <v/>
      </c>
      <c r="L41" s="20" t="str">
        <f>IF(Value!L41="","",IF(Value!L41=0,"",(Value!L41*100/Feuil1!$C$2-100)/100))</f>
        <v/>
      </c>
      <c r="M41" s="20" t="str">
        <f>IF(Value!M41="","",IF(Value!M41=0,"",(Value!M41*100/Feuil1!$C$2-100)/100))</f>
        <v/>
      </c>
      <c r="N41" s="20" t="str">
        <f>IF(Value!N41="","",IF(Value!N41=0,"",(Value!N41*100/Feuil1!$C$2-100)/100))</f>
        <v/>
      </c>
      <c r="O41" s="20" t="str">
        <f>IF(Value!O41="","",IF(Value!O41=0,"",(Value!O41*100/Feuil1!$C$2-100)/100))</f>
        <v/>
      </c>
      <c r="P41" s="20" t="str">
        <f>IF(Value!P41="","",IF(Value!P41=0,"",(Value!P41*100/Feuil1!$C$2-100)/100))</f>
        <v/>
      </c>
      <c r="Q41" s="20" t="str">
        <f>IF(Value!Q41="","",IF(Value!Q41=0,"",(Value!Q41*100/Feuil1!$C$2-100)/100))</f>
        <v/>
      </c>
      <c r="R41" s="20" t="str">
        <f>IF(Value!R41="","",IF(Value!R41=0,"",(Value!R41*100/Feuil1!$C$2-100)/100))</f>
        <v/>
      </c>
    </row>
    <row r="42" spans="1:18">
      <c r="A42" s="12" t="s">
        <v>92</v>
      </c>
      <c r="B42" s="12" t="s">
        <v>93</v>
      </c>
      <c r="C42" s="12">
        <v>2</v>
      </c>
      <c r="D42" s="12">
        <v>1</v>
      </c>
      <c r="E42" s="14">
        <f>Feuil1!J42</f>
        <v>184</v>
      </c>
      <c r="F42" s="8">
        <f>E42/C42</f>
        <v>92</v>
      </c>
      <c r="G42" s="12">
        <f>Feuil1!L42</f>
        <v>0</v>
      </c>
      <c r="H42" t="str">
        <f>IF(OR(G42="",G42=0,C42="",C42=0,D42="",D42=0),"",3*G42*C42/D42*Feuil1!$B$2/200+1)</f>
        <v/>
      </c>
      <c r="I42" t="str">
        <f t="shared" si="0"/>
        <v/>
      </c>
      <c r="J42" s="20" t="str">
        <f>IF(Value!J42="","",IF(Value!J42=0,"",(Value!J42*100/Feuil1!$C$2-100)/100))</f>
        <v/>
      </c>
      <c r="K42" s="20" t="str">
        <f>IF(Value!K42="","",IF(Value!K42=0,"",(Value!K42*100/Feuil1!$C$2-100)/100))</f>
        <v/>
      </c>
      <c r="L42" s="20" t="str">
        <f>IF(Value!L42="","",IF(Value!L42=0,"",(Value!L42*100/Feuil1!$C$2-100)/100))</f>
        <v/>
      </c>
      <c r="M42" s="20" t="str">
        <f>IF(Value!M42="","",IF(Value!M42=0,"",(Value!M42*100/Feuil1!$C$2-100)/100))</f>
        <v/>
      </c>
      <c r="N42" s="20" t="str">
        <f>IF(Value!N42="","",IF(Value!N42=0,"",(Value!N42*100/Feuil1!$C$2-100)/100))</f>
        <v/>
      </c>
      <c r="O42" s="20" t="str">
        <f>IF(Value!O42="","",IF(Value!O42=0,"",(Value!O42*100/Feuil1!$C$2-100)/100))</f>
        <v/>
      </c>
      <c r="P42" s="20" t="str">
        <f>IF(Value!P42="","",IF(Value!P42=0,"",(Value!P42*100/Feuil1!$C$2-100)/100))</f>
        <v/>
      </c>
      <c r="Q42" s="20" t="str">
        <f>IF(Value!Q42="","",IF(Value!Q42=0,"",(Value!Q42*100/Feuil1!$C$2-100)/100))</f>
        <v/>
      </c>
      <c r="R42" s="20" t="str">
        <f>IF(Value!R42="","",IF(Value!R42=0,"",(Value!R42*100/Feuil1!$C$2-100)/100))</f>
        <v/>
      </c>
    </row>
    <row r="43" spans="1:18">
      <c r="A43" s="12" t="s">
        <v>94</v>
      </c>
      <c r="B43" s="12" t="s">
        <v>95</v>
      </c>
      <c r="C43" s="12">
        <v>2</v>
      </c>
      <c r="D43" s="12">
        <v>1</v>
      </c>
      <c r="E43" s="14">
        <f>Feuil1!J43</f>
        <v>95</v>
      </c>
      <c r="F43" s="8">
        <f>E43/C43</f>
        <v>47.5</v>
      </c>
      <c r="G43" s="12">
        <f>Feuil1!L43</f>
        <v>0</v>
      </c>
      <c r="H43" t="str">
        <f>IF(OR(G43="",G43=0,C43="",C43=0,D43="",D43=0),"",3*G43*C43/D43*Feuil1!$B$2/200+1)</f>
        <v/>
      </c>
      <c r="I43" t="str">
        <f t="shared" si="0"/>
        <v/>
      </c>
      <c r="J43" s="20" t="str">
        <f>IF(Value!J43="","",IF(Value!J43=0,"",(Value!J43*100/Feuil1!$C$2-100)/100))</f>
        <v/>
      </c>
      <c r="K43" s="20" t="str">
        <f>IF(Value!K43="","",IF(Value!K43=0,"",(Value!K43*100/Feuil1!$C$2-100)/100))</f>
        <v/>
      </c>
      <c r="L43" s="20" t="str">
        <f>IF(Value!L43="","",IF(Value!L43=0,"",(Value!L43*100/Feuil1!$C$2-100)/100))</f>
        <v/>
      </c>
      <c r="M43" s="20" t="str">
        <f>IF(Value!M43="","",IF(Value!M43=0,"",(Value!M43*100/Feuil1!$C$2-100)/100))</f>
        <v/>
      </c>
      <c r="N43" s="20" t="str">
        <f>IF(Value!N43="","",IF(Value!N43=0,"",(Value!N43*100/Feuil1!$C$2-100)/100))</f>
        <v/>
      </c>
      <c r="O43" s="20" t="str">
        <f>IF(Value!O43="","",IF(Value!O43=0,"",(Value!O43*100/Feuil1!$C$2-100)/100))</f>
        <v/>
      </c>
      <c r="P43" s="20" t="str">
        <f>IF(Value!P43="","",IF(Value!P43=0,"",(Value!P43*100/Feuil1!$C$2-100)/100))</f>
        <v/>
      </c>
      <c r="Q43" s="20" t="str">
        <f>IF(Value!Q43="","",IF(Value!Q43=0,"",(Value!Q43*100/Feuil1!$C$2-100)/100))</f>
        <v/>
      </c>
      <c r="R43" s="20" t="str">
        <f>IF(Value!R43="","",IF(Value!R43=0,"",(Value!R43*100/Feuil1!$C$2-100)/100))</f>
        <v/>
      </c>
    </row>
    <row r="44" spans="1:18">
      <c r="A44" s="12" t="s">
        <v>96</v>
      </c>
      <c r="B44" s="12" t="s">
        <v>97</v>
      </c>
      <c r="C44" s="12">
        <v>2</v>
      </c>
      <c r="D44" s="12">
        <v>1</v>
      </c>
      <c r="E44" s="14">
        <f>Feuil1!J44</f>
        <v>284</v>
      </c>
      <c r="F44" s="8">
        <f>E44/C44</f>
        <v>142</v>
      </c>
      <c r="G44" s="12">
        <f>Feuil1!L44</f>
        <v>0</v>
      </c>
      <c r="H44" t="str">
        <f>IF(OR(G44="",G44=0,C44="",C44=0,D44="",D44=0),"",3*G44*C44/D44*Feuil1!$B$2/200+1)</f>
        <v/>
      </c>
      <c r="I44" t="str">
        <f t="shared" si="0"/>
        <v/>
      </c>
      <c r="J44" s="20" t="str">
        <f>IF(Value!J44="","",IF(Value!J44=0,"",(Value!J44*100/Feuil1!$C$2-100)/100))</f>
        <v/>
      </c>
      <c r="K44" s="20" t="str">
        <f>IF(Value!K44="","",IF(Value!K44=0,"",(Value!K44*100/Feuil1!$C$2-100)/100))</f>
        <v/>
      </c>
      <c r="L44" s="20" t="str">
        <f>IF(Value!L44="","",IF(Value!L44=0,"",(Value!L44*100/Feuil1!$C$2-100)/100))</f>
        <v/>
      </c>
      <c r="M44" s="20" t="str">
        <f>IF(Value!M44="","",IF(Value!M44=0,"",(Value!M44*100/Feuil1!$C$2-100)/100))</f>
        <v/>
      </c>
      <c r="N44" s="20" t="str">
        <f>IF(Value!N44="","",IF(Value!N44=0,"",(Value!N44*100/Feuil1!$C$2-100)/100))</f>
        <v/>
      </c>
      <c r="O44" s="20" t="str">
        <f>IF(Value!O44="","",IF(Value!O44=0,"",(Value!O44*100/Feuil1!$C$2-100)/100))</f>
        <v/>
      </c>
      <c r="P44" s="20" t="str">
        <f>IF(Value!P44="","",IF(Value!P44=0,"",(Value!P44*100/Feuil1!$C$2-100)/100))</f>
        <v/>
      </c>
      <c r="Q44" s="20" t="str">
        <f>IF(Value!Q44="","",IF(Value!Q44=0,"",(Value!Q44*100/Feuil1!$C$2-100)/100))</f>
        <v/>
      </c>
      <c r="R44" s="20" t="str">
        <f>IF(Value!R44="","",IF(Value!R44=0,"",(Value!R44*100/Feuil1!$C$2-100)/100))</f>
        <v/>
      </c>
    </row>
    <row r="45" spans="1:18">
      <c r="A45" s="12" t="s">
        <v>98</v>
      </c>
      <c r="B45" s="12" t="s">
        <v>99</v>
      </c>
      <c r="C45" s="12">
        <v>2</v>
      </c>
      <c r="D45" s="12">
        <v>1</v>
      </c>
      <c r="E45" s="14">
        <f>Feuil1!J45</f>
        <v>424</v>
      </c>
      <c r="F45" s="8">
        <f>E45/C45</f>
        <v>212</v>
      </c>
      <c r="G45" s="12">
        <f>Feuil1!L45</f>
        <v>0</v>
      </c>
      <c r="H45" t="str">
        <f>IF(OR(G45="",G45=0,C45="",C45=0,D45="",D45=0),"",3*G45*C45/D45*Feuil1!$B$2/200+1)</f>
        <v/>
      </c>
      <c r="I45" t="str">
        <f t="shared" si="0"/>
        <v/>
      </c>
      <c r="J45" s="20" t="str">
        <f>IF(Value!J45="","",IF(Value!J45=0,"",(Value!J45*100/Feuil1!$C$2-100)/100))</f>
        <v/>
      </c>
      <c r="K45" s="20" t="str">
        <f>IF(Value!K45="","",IF(Value!K45=0,"",(Value!K45*100/Feuil1!$C$2-100)/100))</f>
        <v/>
      </c>
      <c r="L45" s="20" t="str">
        <f>IF(Value!L45="","",IF(Value!L45=0,"",(Value!L45*100/Feuil1!$C$2-100)/100))</f>
        <v/>
      </c>
      <c r="M45" s="20" t="str">
        <f>IF(Value!M45="","",IF(Value!M45=0,"",(Value!M45*100/Feuil1!$C$2-100)/100))</f>
        <v/>
      </c>
      <c r="N45" s="20" t="str">
        <f>IF(Value!N45="","",IF(Value!N45=0,"",(Value!N45*100/Feuil1!$C$2-100)/100))</f>
        <v/>
      </c>
      <c r="O45" s="20" t="str">
        <f>IF(Value!O45="","",IF(Value!O45=0,"",(Value!O45*100/Feuil1!$C$2-100)/100))</f>
        <v/>
      </c>
      <c r="P45" s="20" t="str">
        <f>IF(Value!P45="","",IF(Value!P45=0,"",(Value!P45*100/Feuil1!$C$2-100)/100))</f>
        <v/>
      </c>
      <c r="Q45" s="20" t="str">
        <f>IF(Value!Q45="","",IF(Value!Q45=0,"",(Value!Q45*100/Feuil1!$C$2-100)/100))</f>
        <v/>
      </c>
      <c r="R45" s="20" t="str">
        <f>IF(Value!R45="","",IF(Value!R45=0,"",(Value!R45*100/Feuil1!$C$2-100)/100))</f>
        <v/>
      </c>
    </row>
    <row r="46" spans="1:18">
      <c r="A46" s="12" t="s">
        <v>100</v>
      </c>
      <c r="B46" s="12" t="s">
        <v>101</v>
      </c>
      <c r="C46" s="12">
        <v>7</v>
      </c>
      <c r="D46" s="12">
        <v>1</v>
      </c>
      <c r="E46" s="14">
        <f>Feuil1!J46</f>
        <v>358</v>
      </c>
      <c r="F46" s="8">
        <f>E46/C46</f>
        <v>51.142857142857146</v>
      </c>
      <c r="G46" s="12">
        <f>Feuil1!L46</f>
        <v>0</v>
      </c>
      <c r="H46" t="str">
        <f>IF(OR(G46="",G46=0,C46="",C46=0,D46="",D46=0),"",3*G46*C46/D46*Feuil1!$B$2/200+1)</f>
        <v/>
      </c>
      <c r="I46" t="str">
        <f t="shared" si="0"/>
        <v/>
      </c>
      <c r="J46" s="20" t="str">
        <f>IF(Value!J46="","",IF(Value!J46=0,"",(Value!J46*100/Feuil1!$C$2-100)/100))</f>
        <v/>
      </c>
      <c r="K46" s="20" t="str">
        <f>IF(Value!K46="","",IF(Value!K46=0,"",(Value!K46*100/Feuil1!$C$2-100)/100))</f>
        <v/>
      </c>
      <c r="L46" s="20" t="str">
        <f>IF(Value!L46="","",IF(Value!L46=0,"",(Value!L46*100/Feuil1!$C$2-100)/100))</f>
        <v/>
      </c>
      <c r="M46" s="20" t="str">
        <f>IF(Value!M46="","",IF(Value!M46=0,"",(Value!M46*100/Feuil1!$C$2-100)/100))</f>
        <v/>
      </c>
      <c r="N46" s="20" t="str">
        <f>IF(Value!N46="","",IF(Value!N46=0,"",(Value!N46*100/Feuil1!$C$2-100)/100))</f>
        <v/>
      </c>
      <c r="O46" s="20" t="str">
        <f>IF(Value!O46="","",IF(Value!O46=0,"",(Value!O46*100/Feuil1!$C$2-100)/100))</f>
        <v/>
      </c>
      <c r="P46" s="20" t="str">
        <f>IF(Value!P46="","",IF(Value!P46=0,"",(Value!P46*100/Feuil1!$C$2-100)/100))</f>
        <v/>
      </c>
      <c r="Q46" s="20" t="str">
        <f>IF(Value!Q46="","",IF(Value!Q46=0,"",(Value!Q46*100/Feuil1!$C$2-100)/100))</f>
        <v/>
      </c>
      <c r="R46" s="20" t="str">
        <f>IF(Value!R46="","",IF(Value!R46=0,"",(Value!R46*100/Feuil1!$C$2-100)/100))</f>
        <v/>
      </c>
    </row>
    <row r="47" spans="1:18">
      <c r="A47" s="12" t="s">
        <v>102</v>
      </c>
      <c r="B47" s="12" t="s">
        <v>103</v>
      </c>
      <c r="C47" s="12">
        <v>7</v>
      </c>
      <c r="D47" s="12">
        <v>1</v>
      </c>
      <c r="E47" s="14">
        <f>Feuil1!J47</f>
        <v>330</v>
      </c>
      <c r="F47" s="8">
        <f>E47/C47</f>
        <v>47.142857142857146</v>
      </c>
      <c r="G47" s="12">
        <f>Feuil1!L47</f>
        <v>0</v>
      </c>
      <c r="H47" t="str">
        <f>IF(OR(G47="",G47=0,C47="",C47=0,D47="",D47=0),"",3*G47*C47/D47*Feuil1!$B$2/200+1)</f>
        <v/>
      </c>
      <c r="I47" t="str">
        <f t="shared" si="0"/>
        <v/>
      </c>
      <c r="J47" s="20" t="str">
        <f>IF(Value!J47="","",IF(Value!J47=0,"",(Value!J47*100/Feuil1!$C$2-100)/100))</f>
        <v/>
      </c>
      <c r="K47" s="20" t="str">
        <f>IF(Value!K47="","",IF(Value!K47=0,"",(Value!K47*100/Feuil1!$C$2-100)/100))</f>
        <v/>
      </c>
      <c r="L47" s="20" t="str">
        <f>IF(Value!L47="","",IF(Value!L47=0,"",(Value!L47*100/Feuil1!$C$2-100)/100))</f>
        <v/>
      </c>
      <c r="M47" s="20" t="str">
        <f>IF(Value!M47="","",IF(Value!M47=0,"",(Value!M47*100/Feuil1!$C$2-100)/100))</f>
        <v/>
      </c>
      <c r="N47" s="20" t="str">
        <f>IF(Value!N47="","",IF(Value!N47=0,"",(Value!N47*100/Feuil1!$C$2-100)/100))</f>
        <v/>
      </c>
      <c r="O47" s="20" t="str">
        <f>IF(Value!O47="","",IF(Value!O47=0,"",(Value!O47*100/Feuil1!$C$2-100)/100))</f>
        <v/>
      </c>
      <c r="P47" s="20" t="str">
        <f>IF(Value!P47="","",IF(Value!P47=0,"",(Value!P47*100/Feuil1!$C$2-100)/100))</f>
        <v/>
      </c>
      <c r="Q47" s="20" t="str">
        <f>IF(Value!Q47="","",IF(Value!Q47=0,"",(Value!Q47*100/Feuil1!$C$2-100)/100))</f>
        <v/>
      </c>
      <c r="R47" s="20" t="str">
        <f>IF(Value!R47="","",IF(Value!R47=0,"",(Value!R47*100/Feuil1!$C$2-100)/100))</f>
        <v/>
      </c>
    </row>
    <row r="48" spans="1:18">
      <c r="A48" s="13" t="s">
        <v>104</v>
      </c>
      <c r="B48" s="12" t="s">
        <v>105</v>
      </c>
      <c r="C48" s="12">
        <v>3</v>
      </c>
      <c r="D48" s="12">
        <v>1</v>
      </c>
      <c r="E48" s="14">
        <f>Feuil1!J48</f>
        <v>269</v>
      </c>
      <c r="F48" s="8">
        <f>E48/C48</f>
        <v>89.666666666666671</v>
      </c>
      <c r="G48" s="12">
        <f>Feuil1!L48</f>
        <v>0</v>
      </c>
      <c r="H48" t="str">
        <f>IF(OR(G48="",G48=0,C48="",C48=0,D48="",D48=0),"",3*G48*C48/D48*Feuil1!$B$2/200+1)</f>
        <v/>
      </c>
      <c r="I48" t="str">
        <f t="shared" si="0"/>
        <v/>
      </c>
      <c r="J48" s="20" t="str">
        <f>IF(Value!J48="","",IF(Value!J48=0,"",(Value!J48*100/Feuil1!$C$2-100)/100))</f>
        <v/>
      </c>
      <c r="K48" s="20" t="str">
        <f>IF(Value!K48="","",IF(Value!K48=0,"",(Value!K48*100/Feuil1!$C$2-100)/100))</f>
        <v/>
      </c>
      <c r="L48" s="20" t="str">
        <f>IF(Value!L48="","",IF(Value!L48=0,"",(Value!L48*100/Feuil1!$C$2-100)/100))</f>
        <v/>
      </c>
      <c r="M48" s="20" t="str">
        <f>IF(Value!M48="","",IF(Value!M48=0,"",(Value!M48*100/Feuil1!$C$2-100)/100))</f>
        <v/>
      </c>
      <c r="N48" s="20" t="str">
        <f>IF(Value!N48="","",IF(Value!N48=0,"",(Value!N48*100/Feuil1!$C$2-100)/100))</f>
        <v/>
      </c>
      <c r="O48" s="20" t="str">
        <f>IF(Value!O48="","",IF(Value!O48=0,"",(Value!O48*100/Feuil1!$C$2-100)/100))</f>
        <v/>
      </c>
      <c r="P48" s="20" t="str">
        <f>IF(Value!P48="","",IF(Value!P48=0,"",(Value!P48*100/Feuil1!$C$2-100)/100))</f>
        <v/>
      </c>
      <c r="Q48" s="20" t="str">
        <f>IF(Value!Q48="","",IF(Value!Q48=0,"",(Value!Q48*100/Feuil1!$C$2-100)/100))</f>
        <v/>
      </c>
      <c r="R48" s="20" t="str">
        <f>IF(Value!R48="","",IF(Value!R48=0,"",(Value!R48*100/Feuil1!$C$2-100)/100))</f>
        <v/>
      </c>
    </row>
    <row r="49" spans="1:18">
      <c r="A49" s="12" t="s">
        <v>106</v>
      </c>
      <c r="B49" s="12" t="s">
        <v>107</v>
      </c>
      <c r="C49" s="12">
        <v>10</v>
      </c>
      <c r="D49" s="12">
        <v>1</v>
      </c>
      <c r="E49" s="14">
        <f>Feuil1!J49</f>
        <v>391</v>
      </c>
      <c r="F49" s="8">
        <f>E49/C49</f>
        <v>39.1</v>
      </c>
      <c r="G49" s="12">
        <f>Feuil1!L49</f>
        <v>0</v>
      </c>
      <c r="H49" t="str">
        <f>IF(OR(G49="",G49=0,C49="",C49=0,D49="",D49=0),"",3*G49*C49/D49*Feuil1!$B$2/200+1)</f>
        <v/>
      </c>
      <c r="I49" t="str">
        <f t="shared" si="0"/>
        <v/>
      </c>
      <c r="J49" s="20" t="str">
        <f>IF(Value!J49="","",IF(Value!J49=0,"",(Value!J49*100/Feuil1!$C$2-100)/100))</f>
        <v/>
      </c>
      <c r="K49" s="20" t="str">
        <f>IF(Value!K49="","",IF(Value!K49=0,"",(Value!K49*100/Feuil1!$C$2-100)/100))</f>
        <v/>
      </c>
      <c r="L49" s="20" t="str">
        <f>IF(Value!L49="","",IF(Value!L49=0,"",(Value!L49*100/Feuil1!$C$2-100)/100))</f>
        <v/>
      </c>
      <c r="M49" s="20" t="str">
        <f>IF(Value!M49="","",IF(Value!M49=0,"",(Value!M49*100/Feuil1!$C$2-100)/100))</f>
        <v/>
      </c>
      <c r="N49" s="20" t="str">
        <f>IF(Value!N49="","",IF(Value!N49=0,"",(Value!N49*100/Feuil1!$C$2-100)/100))</f>
        <v/>
      </c>
      <c r="O49" s="20" t="str">
        <f>IF(Value!O49="","",IF(Value!O49=0,"",(Value!O49*100/Feuil1!$C$2-100)/100))</f>
        <v/>
      </c>
      <c r="P49" s="20" t="str">
        <f>IF(Value!P49="","",IF(Value!P49=0,"",(Value!P49*100/Feuil1!$C$2-100)/100))</f>
        <v/>
      </c>
      <c r="Q49" s="20" t="str">
        <f>IF(Value!Q49="","",IF(Value!Q49=0,"",(Value!Q49*100/Feuil1!$C$2-100)/100))</f>
        <v/>
      </c>
      <c r="R49" s="20" t="str">
        <f>IF(Value!R49="","",IF(Value!R49=0,"",(Value!R49*100/Feuil1!$C$2-100)/100))</f>
        <v/>
      </c>
    </row>
    <row r="50" spans="1:18">
      <c r="A50" s="12" t="s">
        <v>108</v>
      </c>
      <c r="B50" s="12" t="s">
        <v>109</v>
      </c>
      <c r="C50" s="12">
        <v>4</v>
      </c>
      <c r="D50" s="12">
        <v>1</v>
      </c>
      <c r="E50" s="14">
        <f>Feuil1!J50</f>
        <v>877</v>
      </c>
      <c r="F50" s="8">
        <f>E50/C50</f>
        <v>219.25</v>
      </c>
      <c r="G50" s="12">
        <f>Feuil1!L50</f>
        <v>0</v>
      </c>
      <c r="H50" t="str">
        <f>IF(OR(G50="",G50=0,C50="",C50=0,D50="",D50=0),"",3*G50*C50/D50*Feuil1!$B$2/200+1)</f>
        <v/>
      </c>
      <c r="I50" t="str">
        <f t="shared" si="0"/>
        <v/>
      </c>
      <c r="J50" s="20" t="str">
        <f>IF(Value!J50="","",IF(Value!J50=0,"",(Value!J50*100/Feuil1!$C$2-100)/100))</f>
        <v/>
      </c>
      <c r="K50" s="20" t="str">
        <f>IF(Value!K50="","",IF(Value!K50=0,"",(Value!K50*100/Feuil1!$C$2-100)/100))</f>
        <v/>
      </c>
      <c r="L50" s="20" t="str">
        <f>IF(Value!L50="","",IF(Value!L50=0,"",(Value!L50*100/Feuil1!$C$2-100)/100))</f>
        <v/>
      </c>
      <c r="M50" s="20" t="str">
        <f>IF(Value!M50="","",IF(Value!M50=0,"",(Value!M50*100/Feuil1!$C$2-100)/100))</f>
        <v/>
      </c>
      <c r="N50" s="20" t="str">
        <f>IF(Value!N50="","",IF(Value!N50=0,"",(Value!N50*100/Feuil1!$C$2-100)/100))</f>
        <v/>
      </c>
      <c r="O50" s="20" t="str">
        <f>IF(Value!O50="","",IF(Value!O50=0,"",(Value!O50*100/Feuil1!$C$2-100)/100))</f>
        <v/>
      </c>
      <c r="P50" s="20" t="str">
        <f>IF(Value!P50="","",IF(Value!P50=0,"",(Value!P50*100/Feuil1!$C$2-100)/100))</f>
        <v/>
      </c>
      <c r="Q50" s="20" t="str">
        <f>IF(Value!Q50="","",IF(Value!Q50=0,"",(Value!Q50*100/Feuil1!$C$2-100)/100))</f>
        <v/>
      </c>
      <c r="R50" s="20" t="str">
        <f>IF(Value!R50="","",IF(Value!R50=0,"",(Value!R50*100/Feuil1!$C$2-100)/100))</f>
        <v/>
      </c>
    </row>
    <row r="51" spans="1:18">
      <c r="A51" s="12" t="s">
        <v>110</v>
      </c>
      <c r="B51" s="12" t="s">
        <v>111</v>
      </c>
      <c r="C51" s="12">
        <v>1</v>
      </c>
      <c r="D51" s="12">
        <v>5</v>
      </c>
      <c r="E51" s="14">
        <f>Feuil1!J51</f>
        <v>183</v>
      </c>
      <c r="F51" s="8">
        <f>E51/C51</f>
        <v>183</v>
      </c>
      <c r="G51" s="12">
        <f>Feuil1!L51</f>
        <v>0</v>
      </c>
      <c r="H51" t="str">
        <f>IF(OR(G51="",G51=0,C51="",C51=0,D51="",D51=0),"",3*G51*C51/D51*Feuil1!$B$2/200+1)</f>
        <v/>
      </c>
      <c r="I51" t="str">
        <f t="shared" si="0"/>
        <v/>
      </c>
      <c r="J51" s="20" t="str">
        <f>IF(Value!J51="","",IF(Value!J51=0,"",(Value!J51*100/Feuil1!$C$2-100)/100))</f>
        <v/>
      </c>
      <c r="K51" s="20" t="str">
        <f>IF(Value!K51="","",IF(Value!K51=0,"",(Value!K51*100/Feuil1!$C$2-100)/100))</f>
        <v/>
      </c>
      <c r="L51" s="20" t="str">
        <f>IF(Value!L51="","",IF(Value!L51=0,"",(Value!L51*100/Feuil1!$C$2-100)/100))</f>
        <v/>
      </c>
      <c r="M51" s="20" t="str">
        <f>IF(Value!M51="","",IF(Value!M51=0,"",(Value!M51*100/Feuil1!$C$2-100)/100))</f>
        <v/>
      </c>
      <c r="N51" s="20" t="str">
        <f>IF(Value!N51="","",IF(Value!N51=0,"",(Value!N51*100/Feuil1!$C$2-100)/100))</f>
        <v/>
      </c>
      <c r="O51" s="20" t="str">
        <f>IF(Value!O51="","",IF(Value!O51=0,"",(Value!O51*100/Feuil1!$C$2-100)/100))</f>
        <v/>
      </c>
      <c r="P51" s="20" t="str">
        <f>IF(Value!P51="","",IF(Value!P51=0,"",(Value!P51*100/Feuil1!$C$2-100)/100))</f>
        <v/>
      </c>
      <c r="Q51" s="20" t="str">
        <f>IF(Value!Q51="","",IF(Value!Q51=0,"",(Value!Q51*100/Feuil1!$C$2-100)/100))</f>
        <v/>
      </c>
      <c r="R51" s="20" t="str">
        <f>IF(Value!R51="","",IF(Value!R51=0,"",(Value!R51*100/Feuil1!$C$2-100)/100))</f>
        <v/>
      </c>
    </row>
  </sheetData>
  <conditionalFormatting sqref="J2:J5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5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5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5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R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AA50-1A20-41A9-A02C-A5723076F4EB}">
  <dimension ref="A1:F51"/>
  <sheetViews>
    <sheetView workbookViewId="0">
      <selection activeCell="A24" sqref="A24:F24"/>
    </sheetView>
  </sheetViews>
  <sheetFormatPr defaultRowHeight="15"/>
  <cols>
    <col min="1" max="1" width="21.7109375" bestFit="1" customWidth="1"/>
    <col min="2" max="2" width="13.42578125" bestFit="1" customWidth="1"/>
    <col min="3" max="3" width="10.85546875" bestFit="1" customWidth="1"/>
    <col min="4" max="4" width="12.5703125" bestFit="1" customWidth="1"/>
    <col min="5" max="5" width="9.42578125" bestFit="1" customWidth="1"/>
    <col min="6" max="6" width="16.42578125" bestFit="1" customWidth="1"/>
  </cols>
  <sheetData>
    <row r="1" spans="1:6">
      <c r="A1" s="12" t="s">
        <v>3</v>
      </c>
      <c r="B1" s="12" t="s">
        <v>4</v>
      </c>
      <c r="C1" s="12" t="s">
        <v>5</v>
      </c>
      <c r="D1" s="19" t="s">
        <v>6</v>
      </c>
      <c r="E1" s="18" t="s">
        <v>7</v>
      </c>
      <c r="F1" t="s">
        <v>8</v>
      </c>
    </row>
    <row r="2" spans="1:6">
      <c r="A2" s="12" t="s">
        <v>14</v>
      </c>
      <c r="B2" s="12" t="s">
        <v>15</v>
      </c>
      <c r="C2" s="12">
        <v>15</v>
      </c>
      <c r="D2" s="19">
        <v>1</v>
      </c>
      <c r="E2" s="18">
        <v>29031</v>
      </c>
      <c r="F2" s="8">
        <f>E2/C2</f>
        <v>1935.4</v>
      </c>
    </row>
    <row r="3" spans="1:6">
      <c r="A3" s="12" t="s">
        <v>10</v>
      </c>
      <c r="B3" s="12" t="s">
        <v>11</v>
      </c>
      <c r="C3" s="12">
        <v>15</v>
      </c>
      <c r="D3" s="19">
        <v>1</v>
      </c>
      <c r="E3" s="18">
        <v>27934</v>
      </c>
      <c r="F3" s="8">
        <f>E3/C3</f>
        <v>1862.2666666666667</v>
      </c>
    </row>
    <row r="4" spans="1:6">
      <c r="A4" s="12" t="s">
        <v>17</v>
      </c>
      <c r="B4" s="12" t="s">
        <v>18</v>
      </c>
      <c r="C4" s="12">
        <v>15</v>
      </c>
      <c r="D4" s="19">
        <v>1</v>
      </c>
      <c r="E4" s="18">
        <v>9398</v>
      </c>
      <c r="F4" s="8">
        <f>E4/C4</f>
        <v>626.5333333333333</v>
      </c>
    </row>
    <row r="5" spans="1:6">
      <c r="A5" s="12" t="s">
        <v>12</v>
      </c>
      <c r="B5" s="12" t="s">
        <v>13</v>
      </c>
      <c r="C5" s="12">
        <v>15</v>
      </c>
      <c r="D5" s="19">
        <v>1</v>
      </c>
      <c r="E5" s="18">
        <v>6321</v>
      </c>
      <c r="F5" s="8">
        <f>E5/C5</f>
        <v>421.4</v>
      </c>
    </row>
    <row r="6" spans="1:6">
      <c r="A6" s="12" t="s">
        <v>29</v>
      </c>
      <c r="B6" s="12" t="s">
        <v>30</v>
      </c>
      <c r="C6" s="12">
        <v>10</v>
      </c>
      <c r="D6" s="19">
        <v>1</v>
      </c>
      <c r="E6" s="18">
        <v>3961</v>
      </c>
      <c r="F6" s="8">
        <f>E6/C6</f>
        <v>396.1</v>
      </c>
    </row>
    <row r="7" spans="1:6">
      <c r="A7" s="12" t="s">
        <v>45</v>
      </c>
      <c r="B7" s="12" t="s">
        <v>46</v>
      </c>
      <c r="C7" s="12">
        <v>5</v>
      </c>
      <c r="D7" s="19">
        <v>1</v>
      </c>
      <c r="E7" s="18">
        <v>1562</v>
      </c>
      <c r="F7" s="8">
        <f>E7/C7</f>
        <v>312.39999999999998</v>
      </c>
    </row>
    <row r="8" spans="1:6">
      <c r="A8" s="12" t="s">
        <v>74</v>
      </c>
      <c r="B8" s="12" t="s">
        <v>75</v>
      </c>
      <c r="C8" s="12">
        <v>100</v>
      </c>
      <c r="D8" s="19">
        <v>1</v>
      </c>
      <c r="E8" s="18">
        <v>27542</v>
      </c>
      <c r="F8" s="8">
        <f>E8/C8</f>
        <v>275.42</v>
      </c>
    </row>
    <row r="9" spans="1:6">
      <c r="A9" s="12" t="s">
        <v>76</v>
      </c>
      <c r="B9" s="12" t="s">
        <v>77</v>
      </c>
      <c r="C9" s="12">
        <v>90</v>
      </c>
      <c r="D9" s="19">
        <v>1</v>
      </c>
      <c r="E9" s="18">
        <v>22929</v>
      </c>
      <c r="F9" s="8">
        <f>E9/C9</f>
        <v>254.76666666666668</v>
      </c>
    </row>
    <row r="10" spans="1:6">
      <c r="A10" s="12" t="s">
        <v>25</v>
      </c>
      <c r="B10" s="12" t="s">
        <v>26</v>
      </c>
      <c r="C10" s="12">
        <v>6</v>
      </c>
      <c r="D10" s="19">
        <v>1</v>
      </c>
      <c r="E10" s="18">
        <v>1514</v>
      </c>
      <c r="F10" s="8">
        <f>E10/C10</f>
        <v>252.33333333333334</v>
      </c>
    </row>
    <row r="11" spans="1:6">
      <c r="A11" s="12" t="s">
        <v>43</v>
      </c>
      <c r="B11" s="12" t="s">
        <v>44</v>
      </c>
      <c r="C11" s="12">
        <v>5</v>
      </c>
      <c r="D11" s="19">
        <v>1</v>
      </c>
      <c r="E11" s="18">
        <v>1237</v>
      </c>
      <c r="F11" s="8">
        <f>E11/C11</f>
        <v>247.4</v>
      </c>
    </row>
    <row r="12" spans="1:6">
      <c r="A12" s="12" t="s">
        <v>47</v>
      </c>
      <c r="B12" s="12" t="s">
        <v>48</v>
      </c>
      <c r="C12" s="12">
        <v>5</v>
      </c>
      <c r="D12" s="19">
        <v>1</v>
      </c>
      <c r="E12" s="18">
        <v>1208</v>
      </c>
      <c r="F12" s="8">
        <f>E12/C12</f>
        <v>241.6</v>
      </c>
    </row>
    <row r="13" spans="1:6">
      <c r="A13" s="12" t="s">
        <v>33</v>
      </c>
      <c r="B13" s="12" t="s">
        <v>34</v>
      </c>
      <c r="C13" s="12">
        <v>6</v>
      </c>
      <c r="D13" s="19">
        <v>1</v>
      </c>
      <c r="E13" s="18">
        <v>1438</v>
      </c>
      <c r="F13" s="8">
        <f>E13/C13</f>
        <v>239.66666666666666</v>
      </c>
    </row>
    <row r="14" spans="1:6">
      <c r="A14" s="12" t="s">
        <v>56</v>
      </c>
      <c r="B14" s="12" t="s">
        <v>57</v>
      </c>
      <c r="C14" s="12">
        <v>5</v>
      </c>
      <c r="D14" s="19">
        <v>1</v>
      </c>
      <c r="E14" s="18">
        <v>1188</v>
      </c>
      <c r="F14" s="8">
        <f>E14/C14</f>
        <v>237.6</v>
      </c>
    </row>
    <row r="15" spans="1:6">
      <c r="A15" s="12" t="s">
        <v>39</v>
      </c>
      <c r="B15" s="12" t="s">
        <v>40</v>
      </c>
      <c r="C15" s="12">
        <v>10</v>
      </c>
      <c r="D15" s="19">
        <v>1</v>
      </c>
      <c r="E15" s="18">
        <v>2335</v>
      </c>
      <c r="F15" s="8">
        <f>E15/C15</f>
        <v>233.5</v>
      </c>
    </row>
    <row r="16" spans="1:6">
      <c r="A16" s="12" t="s">
        <v>51</v>
      </c>
      <c r="B16" s="12" t="s">
        <v>52</v>
      </c>
      <c r="C16" s="12">
        <v>5</v>
      </c>
      <c r="D16" s="19">
        <v>1</v>
      </c>
      <c r="E16" s="18">
        <v>1143</v>
      </c>
      <c r="F16" s="8">
        <f>E16/C16</f>
        <v>228.6</v>
      </c>
    </row>
    <row r="17" spans="1:6">
      <c r="A17" s="12" t="s">
        <v>108</v>
      </c>
      <c r="B17" s="12" t="s">
        <v>109</v>
      </c>
      <c r="C17" s="12">
        <v>4</v>
      </c>
      <c r="D17" s="19">
        <v>1</v>
      </c>
      <c r="E17" s="18">
        <v>877</v>
      </c>
      <c r="F17" s="8">
        <f>E17/C17</f>
        <v>219.25</v>
      </c>
    </row>
    <row r="18" spans="1:6">
      <c r="A18" s="12" t="s">
        <v>98</v>
      </c>
      <c r="B18" s="12" t="s">
        <v>99</v>
      </c>
      <c r="C18" s="12">
        <v>2</v>
      </c>
      <c r="D18" s="19">
        <v>1</v>
      </c>
      <c r="E18" s="18">
        <v>424</v>
      </c>
      <c r="F18" s="8">
        <f>E18/C18</f>
        <v>212</v>
      </c>
    </row>
    <row r="19" spans="1:6">
      <c r="A19" s="12" t="s">
        <v>20</v>
      </c>
      <c r="B19" s="12" t="s">
        <v>21</v>
      </c>
      <c r="C19" s="12">
        <v>6</v>
      </c>
      <c r="D19" s="19">
        <v>1</v>
      </c>
      <c r="E19" s="18">
        <v>1264</v>
      </c>
      <c r="F19" s="8">
        <f>E19/C19</f>
        <v>210.66666666666666</v>
      </c>
    </row>
    <row r="20" spans="1:6">
      <c r="A20" s="12" t="s">
        <v>31</v>
      </c>
      <c r="B20" s="12" t="s">
        <v>32</v>
      </c>
      <c r="C20" s="12">
        <v>6</v>
      </c>
      <c r="D20" s="19">
        <v>1</v>
      </c>
      <c r="E20" s="18">
        <v>1209</v>
      </c>
      <c r="F20" s="8">
        <f>E20/C20</f>
        <v>201.5</v>
      </c>
    </row>
    <row r="21" spans="1:6">
      <c r="A21" s="12" t="s">
        <v>49</v>
      </c>
      <c r="B21" s="12" t="s">
        <v>50</v>
      </c>
      <c r="C21" s="12">
        <v>5</v>
      </c>
      <c r="D21" s="19">
        <v>1</v>
      </c>
      <c r="E21" s="18">
        <v>951</v>
      </c>
      <c r="F21" s="8">
        <f>E21/C21</f>
        <v>190.2</v>
      </c>
    </row>
    <row r="22" spans="1:6">
      <c r="A22" s="12" t="s">
        <v>23</v>
      </c>
      <c r="B22" s="12" t="s">
        <v>24</v>
      </c>
      <c r="C22" s="12">
        <v>10</v>
      </c>
      <c r="D22" s="19">
        <v>1</v>
      </c>
      <c r="E22" s="18">
        <v>1898</v>
      </c>
      <c r="F22" s="8">
        <f>E22/C22</f>
        <v>189.8</v>
      </c>
    </row>
    <row r="23" spans="1:6">
      <c r="A23" s="12" t="s">
        <v>110</v>
      </c>
      <c r="B23" s="12" t="s">
        <v>111</v>
      </c>
      <c r="C23" s="12">
        <v>1</v>
      </c>
      <c r="D23" s="19">
        <v>5</v>
      </c>
      <c r="E23" s="18">
        <v>183</v>
      </c>
      <c r="F23" s="8">
        <f>E23/C23</f>
        <v>183</v>
      </c>
    </row>
    <row r="24" spans="1:6">
      <c r="A24" s="12" t="s">
        <v>78</v>
      </c>
      <c r="B24" s="12" t="s">
        <v>79</v>
      </c>
      <c r="C24" s="12">
        <v>51</v>
      </c>
      <c r="D24" s="19">
        <v>1</v>
      </c>
      <c r="E24" s="18">
        <v>9260</v>
      </c>
      <c r="F24" s="8">
        <f>E24/C24</f>
        <v>181.56862745098039</v>
      </c>
    </row>
    <row r="25" spans="1:6">
      <c r="A25" s="12" t="s">
        <v>72</v>
      </c>
      <c r="B25" s="12" t="s">
        <v>73</v>
      </c>
      <c r="C25" s="12">
        <v>30</v>
      </c>
      <c r="D25" s="19">
        <v>1</v>
      </c>
      <c r="E25" s="18">
        <v>5297</v>
      </c>
      <c r="F25" s="8">
        <f>E25/C25</f>
        <v>176.56666666666666</v>
      </c>
    </row>
    <row r="26" spans="1:6">
      <c r="A26" s="12" t="s">
        <v>27</v>
      </c>
      <c r="B26" s="12" t="s">
        <v>28</v>
      </c>
      <c r="C26" s="12">
        <v>6</v>
      </c>
      <c r="D26" s="19">
        <v>1</v>
      </c>
      <c r="E26" s="18">
        <v>1051</v>
      </c>
      <c r="F26" s="8">
        <f>E26/C26</f>
        <v>175.16666666666666</v>
      </c>
    </row>
    <row r="27" spans="1:6">
      <c r="A27" s="12" t="s">
        <v>90</v>
      </c>
      <c r="B27" s="12" t="s">
        <v>91</v>
      </c>
      <c r="C27" s="12">
        <v>2</v>
      </c>
      <c r="D27" s="19">
        <v>1</v>
      </c>
      <c r="E27" s="18">
        <v>334</v>
      </c>
      <c r="F27" s="8">
        <f>E27/C27</f>
        <v>167</v>
      </c>
    </row>
    <row r="28" spans="1:6">
      <c r="A28" s="12" t="s">
        <v>88</v>
      </c>
      <c r="B28" s="12" t="s">
        <v>89</v>
      </c>
      <c r="C28" s="12">
        <v>2</v>
      </c>
      <c r="D28" s="19">
        <v>1</v>
      </c>
      <c r="E28" s="18">
        <v>328</v>
      </c>
      <c r="F28" s="8">
        <f>E28/C28</f>
        <v>164</v>
      </c>
    </row>
    <row r="29" spans="1:6">
      <c r="A29" s="12" t="s">
        <v>58</v>
      </c>
      <c r="B29" s="12" t="s">
        <v>59</v>
      </c>
      <c r="C29" s="12">
        <v>5</v>
      </c>
      <c r="D29" s="19">
        <v>1</v>
      </c>
      <c r="E29" s="18">
        <v>736</v>
      </c>
      <c r="F29" s="8">
        <f>E29/C29</f>
        <v>147.19999999999999</v>
      </c>
    </row>
    <row r="30" spans="1:6">
      <c r="A30" s="12" t="s">
        <v>96</v>
      </c>
      <c r="B30" s="12" t="s">
        <v>97</v>
      </c>
      <c r="C30" s="12">
        <v>2</v>
      </c>
      <c r="D30" s="19">
        <v>1</v>
      </c>
      <c r="E30" s="18">
        <v>284</v>
      </c>
      <c r="F30" s="8">
        <f>E30/C30</f>
        <v>142</v>
      </c>
    </row>
    <row r="31" spans="1:6">
      <c r="A31" s="12" t="s">
        <v>82</v>
      </c>
      <c r="B31" s="12" t="s">
        <v>83</v>
      </c>
      <c r="C31" s="12">
        <v>3</v>
      </c>
      <c r="D31" s="19">
        <v>1</v>
      </c>
      <c r="E31" s="18">
        <v>413</v>
      </c>
      <c r="F31" s="8">
        <f>E31/C31</f>
        <v>137.66666666666666</v>
      </c>
    </row>
    <row r="32" spans="1:6">
      <c r="A32" s="12" t="s">
        <v>84</v>
      </c>
      <c r="B32" s="12" t="s">
        <v>85</v>
      </c>
      <c r="C32" s="12">
        <v>2</v>
      </c>
      <c r="D32" s="19">
        <v>1</v>
      </c>
      <c r="E32" s="18">
        <v>241</v>
      </c>
      <c r="F32" s="8">
        <f>E32/C32</f>
        <v>120.5</v>
      </c>
    </row>
    <row r="33" spans="1:6">
      <c r="A33" s="12" t="s">
        <v>35</v>
      </c>
      <c r="B33" s="12" t="s">
        <v>36</v>
      </c>
      <c r="C33" s="12">
        <v>1</v>
      </c>
      <c r="D33" s="19">
        <v>1</v>
      </c>
      <c r="E33" s="18">
        <v>99</v>
      </c>
      <c r="F33" s="8">
        <f>E33/C33</f>
        <v>99</v>
      </c>
    </row>
    <row r="34" spans="1:6">
      <c r="A34" s="12" t="s">
        <v>66</v>
      </c>
      <c r="B34" s="12" t="s">
        <v>67</v>
      </c>
      <c r="C34" s="12">
        <v>4</v>
      </c>
      <c r="D34" s="19">
        <v>1</v>
      </c>
      <c r="E34" s="18">
        <v>391</v>
      </c>
      <c r="F34" s="8">
        <f>E34/C34</f>
        <v>97.75</v>
      </c>
    </row>
    <row r="35" spans="1:6">
      <c r="A35" s="12" t="s">
        <v>92</v>
      </c>
      <c r="B35" s="12" t="s">
        <v>93</v>
      </c>
      <c r="C35" s="12">
        <v>2</v>
      </c>
      <c r="D35" s="19">
        <v>1</v>
      </c>
      <c r="E35" s="18">
        <v>184</v>
      </c>
      <c r="F35" s="8">
        <f>E35/C35</f>
        <v>92</v>
      </c>
    </row>
    <row r="36" spans="1:6">
      <c r="A36" s="13" t="s">
        <v>104</v>
      </c>
      <c r="B36" s="12" t="s">
        <v>105</v>
      </c>
      <c r="C36" s="12">
        <v>3</v>
      </c>
      <c r="D36" s="19">
        <v>1</v>
      </c>
      <c r="E36" s="18">
        <v>269</v>
      </c>
      <c r="F36" s="8">
        <f>E36/C36</f>
        <v>89.666666666666671</v>
      </c>
    </row>
    <row r="37" spans="1:6">
      <c r="A37" s="12" t="s">
        <v>60</v>
      </c>
      <c r="B37" s="12" t="s">
        <v>61</v>
      </c>
      <c r="C37" s="12">
        <v>7</v>
      </c>
      <c r="D37" s="19">
        <v>1</v>
      </c>
      <c r="E37" s="18">
        <v>580</v>
      </c>
      <c r="F37" s="8">
        <f>E37/C37</f>
        <v>82.857142857142861</v>
      </c>
    </row>
    <row r="38" spans="1:6">
      <c r="A38" s="12" t="s">
        <v>37</v>
      </c>
      <c r="B38" s="12" t="s">
        <v>38</v>
      </c>
      <c r="C38" s="12">
        <v>1</v>
      </c>
      <c r="D38" s="19">
        <v>1</v>
      </c>
      <c r="E38" s="18">
        <v>75</v>
      </c>
      <c r="F38" s="8">
        <f>E38/C38</f>
        <v>75</v>
      </c>
    </row>
    <row r="39" spans="1:6">
      <c r="A39" s="12" t="s">
        <v>68</v>
      </c>
      <c r="B39" s="12" t="s">
        <v>69</v>
      </c>
      <c r="C39" s="12">
        <v>1</v>
      </c>
      <c r="D39" s="19">
        <v>10</v>
      </c>
      <c r="E39" s="18">
        <v>75</v>
      </c>
      <c r="F39" s="8">
        <f>E39/C39</f>
        <v>75</v>
      </c>
    </row>
    <row r="40" spans="1:6">
      <c r="A40" s="12" t="s">
        <v>64</v>
      </c>
      <c r="B40" s="12" t="s">
        <v>65</v>
      </c>
      <c r="C40" s="12">
        <v>1</v>
      </c>
      <c r="D40" s="19">
        <v>1</v>
      </c>
      <c r="E40" s="18">
        <v>70</v>
      </c>
      <c r="F40" s="8">
        <f>E40/C40</f>
        <v>70</v>
      </c>
    </row>
    <row r="41" spans="1:6">
      <c r="A41" s="12" t="s">
        <v>53</v>
      </c>
      <c r="B41" s="12" t="s">
        <v>54</v>
      </c>
      <c r="C41" s="12">
        <v>5</v>
      </c>
      <c r="D41" s="19">
        <v>1</v>
      </c>
      <c r="E41" s="18">
        <v>315</v>
      </c>
      <c r="F41" s="8">
        <f>E41/C41</f>
        <v>63</v>
      </c>
    </row>
    <row r="42" spans="1:6">
      <c r="A42" s="12" t="s">
        <v>80</v>
      </c>
      <c r="B42" s="12" t="s">
        <v>81</v>
      </c>
      <c r="C42" s="12">
        <v>2.5</v>
      </c>
      <c r="D42" s="19">
        <v>10</v>
      </c>
      <c r="E42" s="18">
        <v>152</v>
      </c>
      <c r="F42" s="8">
        <f>E42/C42</f>
        <v>60.8</v>
      </c>
    </row>
    <row r="43" spans="1:6">
      <c r="A43" s="12" t="s">
        <v>70</v>
      </c>
      <c r="B43" s="12" t="s">
        <v>71</v>
      </c>
      <c r="C43" s="12">
        <v>1</v>
      </c>
      <c r="D43" s="19">
        <v>1</v>
      </c>
      <c r="E43" s="18">
        <v>57</v>
      </c>
      <c r="F43" s="8">
        <f>E43/C43</f>
        <v>57</v>
      </c>
    </row>
    <row r="44" spans="1:6">
      <c r="A44" s="12" t="s">
        <v>100</v>
      </c>
      <c r="B44" s="12" t="s">
        <v>101</v>
      </c>
      <c r="C44" s="12">
        <v>7</v>
      </c>
      <c r="D44" s="19">
        <v>1</v>
      </c>
      <c r="E44" s="18">
        <v>358</v>
      </c>
      <c r="F44" s="8">
        <f>E44/C44</f>
        <v>51.142857142857146</v>
      </c>
    </row>
    <row r="45" spans="1:6">
      <c r="A45" s="12" t="s">
        <v>55</v>
      </c>
      <c r="B45" s="12" t="s">
        <v>54</v>
      </c>
      <c r="C45" s="12">
        <v>5</v>
      </c>
      <c r="D45" s="19">
        <v>1</v>
      </c>
      <c r="E45" s="18">
        <v>244</v>
      </c>
      <c r="F45" s="8">
        <f>E45/C45</f>
        <v>48.8</v>
      </c>
    </row>
    <row r="46" spans="1:6">
      <c r="A46" s="12" t="s">
        <v>86</v>
      </c>
      <c r="B46" s="12" t="s">
        <v>87</v>
      </c>
      <c r="C46" s="12">
        <v>2</v>
      </c>
      <c r="D46" s="19">
        <v>1</v>
      </c>
      <c r="E46" s="18">
        <v>97</v>
      </c>
      <c r="F46" s="8">
        <f>E46/C46</f>
        <v>48.5</v>
      </c>
    </row>
    <row r="47" spans="1:6">
      <c r="A47" s="12" t="s">
        <v>94</v>
      </c>
      <c r="B47" s="12" t="s">
        <v>95</v>
      </c>
      <c r="C47" s="12">
        <v>2</v>
      </c>
      <c r="D47" s="19">
        <v>1</v>
      </c>
      <c r="E47" s="18">
        <v>95</v>
      </c>
      <c r="F47" s="8">
        <f>E47/C47</f>
        <v>47.5</v>
      </c>
    </row>
    <row r="48" spans="1:6">
      <c r="A48" s="12" t="s">
        <v>62</v>
      </c>
      <c r="B48" s="12" t="s">
        <v>63</v>
      </c>
      <c r="C48" s="12">
        <v>7</v>
      </c>
      <c r="D48" s="19">
        <v>1</v>
      </c>
      <c r="E48" s="18">
        <v>330</v>
      </c>
      <c r="F48" s="8">
        <f>E48/C48</f>
        <v>47.142857142857146</v>
      </c>
    </row>
    <row r="49" spans="1:6">
      <c r="A49" s="12" t="s">
        <v>102</v>
      </c>
      <c r="B49" s="12" t="s">
        <v>103</v>
      </c>
      <c r="C49" s="12">
        <v>7</v>
      </c>
      <c r="D49" s="19">
        <v>1</v>
      </c>
      <c r="E49" s="18">
        <v>330</v>
      </c>
      <c r="F49" s="8">
        <f>E49/C49</f>
        <v>47.142857142857146</v>
      </c>
    </row>
    <row r="50" spans="1:6">
      <c r="A50" s="12" t="s">
        <v>41</v>
      </c>
      <c r="B50" s="12" t="s">
        <v>42</v>
      </c>
      <c r="C50" s="12">
        <v>20</v>
      </c>
      <c r="D50" s="19">
        <v>1</v>
      </c>
      <c r="E50" s="18">
        <v>883</v>
      </c>
      <c r="F50" s="8">
        <f>E50/C50</f>
        <v>44.15</v>
      </c>
    </row>
    <row r="51" spans="1:6">
      <c r="A51" s="12" t="s">
        <v>106</v>
      </c>
      <c r="B51" s="12" t="s">
        <v>107</v>
      </c>
      <c r="C51" s="12">
        <v>10</v>
      </c>
      <c r="D51" s="19">
        <v>1</v>
      </c>
      <c r="E51" s="18">
        <v>391</v>
      </c>
      <c r="F51" s="8">
        <f>E51/C51</f>
        <v>39.1</v>
      </c>
    </row>
  </sheetData>
  <sortState xmlns:xlrd2="http://schemas.microsoft.com/office/spreadsheetml/2017/richdata2" ref="A2:F51">
    <sortCondition descending="1" ref="F2:F5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034C-8F25-4788-8AAF-8CB70934F95C}">
  <dimension ref="A1:F4"/>
  <sheetViews>
    <sheetView tabSelected="1" workbookViewId="0">
      <selection activeCell="A5" sqref="A5:XFD5"/>
    </sheetView>
  </sheetViews>
  <sheetFormatPr defaultRowHeight="15"/>
  <cols>
    <col min="1" max="1" width="24" customWidth="1"/>
    <col min="3" max="4" width="11.7109375" customWidth="1"/>
    <col min="5" max="5" width="12.5703125" customWidth="1"/>
  </cols>
  <sheetData>
    <row r="1" spans="1:6">
      <c r="A1" t="s">
        <v>122</v>
      </c>
      <c r="B1">
        <v>3100</v>
      </c>
      <c r="C1">
        <v>5900</v>
      </c>
      <c r="D1" s="8">
        <f>C1*100/B1-100</f>
        <v>90.322580645161281</v>
      </c>
      <c r="E1" s="21" t="s">
        <v>123</v>
      </c>
      <c r="F1" t="s">
        <v>124</v>
      </c>
    </row>
    <row r="2" spans="1:6">
      <c r="A2" t="s">
        <v>125</v>
      </c>
      <c r="B2">
        <v>7000</v>
      </c>
      <c r="C2">
        <v>12400</v>
      </c>
      <c r="D2" s="8">
        <f t="shared" ref="D2:D4" si="0">C2*100/B2-100</f>
        <v>77.142857142857139</v>
      </c>
      <c r="E2" s="21" t="s">
        <v>126</v>
      </c>
      <c r="F2" t="s">
        <v>127</v>
      </c>
    </row>
    <row r="3" spans="1:6">
      <c r="A3" t="s">
        <v>128</v>
      </c>
      <c r="B3">
        <v>2000</v>
      </c>
      <c r="C3">
        <v>3800</v>
      </c>
      <c r="D3" s="8">
        <f t="shared" si="0"/>
        <v>90</v>
      </c>
      <c r="E3" s="21">
        <v>0.93</v>
      </c>
      <c r="F3" t="s">
        <v>124</v>
      </c>
    </row>
    <row r="4" spans="1:6">
      <c r="A4" t="s">
        <v>129</v>
      </c>
      <c r="B4">
        <v>13500</v>
      </c>
      <c r="C4">
        <v>19000</v>
      </c>
      <c r="D4" s="8">
        <f t="shared" si="0"/>
        <v>40.740740740740733</v>
      </c>
      <c r="E4" s="21">
        <v>0.75</v>
      </c>
      <c r="F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2026-07-22T13:50:46Z</dcterms:created>
  <dcterms:modified xsi:type="dcterms:W3CDTF">2026-07-31T09:55:31Z</dcterms:modified>
  <cp:category/>
  <cp:contentStatus/>
</cp:coreProperties>
</file>